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ty Lite" sheetId="1" state="visible" r:id="rId1"/>
    <sheet name="Org &amp; Hiring" sheetId="2" state="visible" r:id="rId2"/>
    <sheet name="Profitability" sheetId="3" state="visible" r:id="rId3"/>
    <sheet name="James — New Comp" sheetId="4" state="visible" r:id="rId4"/>
    <sheet name="Cash Timing" sheetId="5" state="visible" r:id="rId5"/>
    <sheet name="Comp Optimiz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$&quot;#,##0"/>
    <numFmt numFmtId="166" formatCode="0.0%"/>
  </numFmts>
  <fonts count="3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A6477"/>
      <sz val="10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b val="1"/>
      <color rgb="00101A30"/>
      <sz val="12"/>
    </font>
    <font>
      <name val="Calibri"/>
      <color rgb="007A8499"/>
      <sz val="9.5"/>
    </font>
    <font>
      <name val="Calibri"/>
      <color rgb="001B2A4A"/>
      <sz val="11"/>
    </font>
    <font>
      <name val="Calibri"/>
      <b val="1"/>
      <color rgb="00101A30"/>
      <sz val="24"/>
    </font>
    <font>
      <name val="Calibri"/>
      <i val="1"/>
      <color rgb="007A8499"/>
      <sz val="9.5"/>
    </font>
    <font>
      <name val="Calibri"/>
      <b val="1"/>
      <color rgb="00FFFFFF"/>
      <sz val="9.5"/>
    </font>
    <font>
      <name val="Calibri"/>
      <b val="1"/>
      <color rgb="001B2A4A"/>
      <sz val="10"/>
    </font>
    <font>
      <name val="Calibri"/>
      <color rgb="0097A0B3"/>
      <sz val="11"/>
    </font>
    <font>
      <name val="Calibri"/>
      <color rgb="001B2A4A"/>
      <sz val="10"/>
    </font>
    <font>
      <name val="Calibri"/>
      <color rgb="009C7415"/>
      <sz val="11"/>
    </font>
    <font>
      <name val="Calibri"/>
      <color rgb="00455064"/>
      <sz val="9.5"/>
    </font>
    <font>
      <name val="Calibri"/>
      <b val="1"/>
      <color rgb="00101A30"/>
      <sz val="11"/>
    </font>
    <font>
      <name val="Calibri"/>
      <color rgb="007A8499"/>
      <sz val="9"/>
    </font>
    <font>
      <name val="Calibri"/>
      <b val="1"/>
      <color rgb="00FFFFFF"/>
      <sz val="10"/>
    </font>
    <font>
      <name val="Calibri"/>
      <b val="1"/>
      <color rgb="00101A30"/>
      <sz val="10"/>
    </font>
    <font>
      <name val="Calibri"/>
      <color rgb="001B2A4A"/>
      <sz val="12"/>
    </font>
    <font>
      <name val="Calibri"/>
      <b val="1"/>
      <color rgb="001B2A4A"/>
      <sz val="12"/>
    </font>
    <font>
      <name val="Calibri"/>
      <b val="1"/>
      <color rgb="001B2A4A"/>
      <sz val="13"/>
    </font>
    <font>
      <name val="Calibri"/>
      <b val="1"/>
      <color rgb="00101A30"/>
      <sz val="14"/>
    </font>
    <font>
      <name val="Calibri"/>
      <b val="1"/>
      <color rgb="009C7415"/>
      <sz val="11"/>
    </font>
    <font>
      <b val="1"/>
      <color rgb="00101A30"/>
    </font>
    <font>
      <name val="Calibri"/>
      <b val="1"/>
      <color rgb="00FFFFFF"/>
      <sz val="9"/>
    </font>
    <font>
      <name val="Calibri"/>
      <color rgb="00B3402E"/>
      <sz val="11"/>
    </font>
    <font>
      <name val="Calibri"/>
      <color rgb="002F7D5B"/>
      <sz val="11"/>
    </font>
    <font>
      <name val="Calibri"/>
      <b val="1"/>
      <color rgb="00101A30"/>
      <sz val="13"/>
    </font>
    <font>
      <name val="Calibri"/>
      <b val="1"/>
      <color rgb="00FFFFFF"/>
      <sz val="18"/>
    </font>
    <font>
      <name val="Calibri"/>
      <i val="1"/>
      <color rgb="007A8499"/>
      <sz val="9"/>
    </font>
    <font>
      <name val="Calibri"/>
      <i val="1"/>
      <color rgb="009C7415"/>
      <sz val="9"/>
    </font>
    <font>
      <name val="Calibri"/>
      <b val="1"/>
      <color rgb="00B3402E"/>
      <sz val="11"/>
    </font>
    <font>
      <name val="Calibri"/>
      <color rgb="00455064"/>
      <sz val="10"/>
    </font>
    <font>
      <name val="Calibri"/>
      <color rgb="007A8499"/>
      <sz val="10"/>
    </font>
    <font>
      <b val="1"/>
      <color rgb="00B3402E"/>
    </font>
    <font>
      <name val="Calibri"/>
      <i val="1"/>
      <color rgb="00B3402E"/>
      <sz val="9.5"/>
    </font>
    <font>
      <name val="Calibri"/>
      <color rgb="00101A30"/>
      <sz val="11"/>
    </font>
  </fonts>
  <fills count="11">
    <fill>
      <patternFill/>
    </fill>
    <fill>
      <patternFill patternType="gray125"/>
    </fill>
    <fill>
      <patternFill patternType="solid">
        <fgColor rgb="00101A30"/>
      </patternFill>
    </fill>
    <fill>
      <patternFill patternType="solid">
        <fgColor rgb="001B2A4A"/>
      </patternFill>
    </fill>
    <fill>
      <patternFill patternType="solid">
        <fgColor rgb="00FFF3C4"/>
      </patternFill>
    </fill>
    <fill>
      <patternFill patternType="solid">
        <fgColor rgb="00DCE6F4"/>
      </patternFill>
    </fill>
    <fill>
      <patternFill patternType="solid">
        <fgColor rgb="00C8961E"/>
      </patternFill>
    </fill>
    <fill>
      <patternFill patternType="solid">
        <fgColor rgb="00F6F8FB"/>
      </patternFill>
    </fill>
    <fill>
      <patternFill patternType="solid">
        <fgColor rgb="00E7EBF2"/>
      </patternFill>
    </fill>
    <fill>
      <patternFill patternType="solid">
        <fgColor rgb="00FBECCB"/>
      </patternFill>
    </fill>
    <fill>
      <patternFill patternType="solid">
        <fgColor rgb="00F4D8D1"/>
      </patternFill>
    </fill>
  </fills>
  <borders count="11">
    <border>
      <left/>
      <right/>
      <top/>
      <bottom/>
      <diagonal/>
    </border>
    <border>
      <left style="thin">
        <color rgb="00C2CAD8"/>
      </left>
      <right style="thin">
        <color rgb="00C2CAD8"/>
      </right>
      <top style="thin">
        <color rgb="00C2CAD8"/>
      </top>
      <bottom style="thin">
        <color rgb="00C2CAD8"/>
      </bottom>
    </border>
    <border>
      <left/>
      <right/>
      <top style="thin">
        <color rgb="00C2CAD8"/>
      </top>
      <bottom/>
      <diagonal/>
    </border>
    <border>
      <left style="thin">
        <color rgb="00C2CAD8"/>
      </left>
      <right/>
      <top/>
      <bottom/>
      <diagonal/>
    </border>
    <border>
      <left/>
      <right style="thin">
        <color rgb="00C2CAD8"/>
      </right>
      <top style="thin">
        <color rgb="00C2CAD8"/>
      </top>
      <bottom/>
      <diagonal/>
    </border>
    <border>
      <left/>
      <right style="thin">
        <color rgb="00C2CAD8"/>
      </right>
      <top/>
      <bottom/>
      <diagonal/>
    </border>
    <border>
      <left style="thin">
        <color rgb="00C2CAD8"/>
      </left>
      <right/>
      <top/>
      <bottom style="thin">
        <color rgb="00C2CAD8"/>
      </bottom>
      <diagonal/>
    </border>
    <border>
      <left/>
      <right/>
      <top/>
      <bottom style="thin">
        <color rgb="00C2CAD8"/>
      </bottom>
      <diagonal/>
    </border>
    <border>
      <left/>
      <right style="thin">
        <color rgb="00C2CAD8"/>
      </right>
      <top/>
      <bottom style="thin">
        <color rgb="00C2CAD8"/>
      </bottom>
      <diagonal/>
    </border>
    <border>
      <left/>
      <right/>
      <top style="thin">
        <color rgb="00C2CAD8"/>
      </top>
      <bottom style="thin">
        <color rgb="00C2CAD8"/>
      </bottom>
      <diagonal/>
    </border>
    <border>
      <left/>
      <right style="thin">
        <color rgb="00C2CAD8"/>
      </right>
      <top style="thin">
        <color rgb="00C2CAD8"/>
      </top>
      <bottom style="thin">
        <color rgb="00C2CAD8"/>
      </bottom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4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5" fontId="5" fillId="7" borderId="1" applyAlignment="1" pivotButton="0" quotePrefix="0" xfId="0">
      <alignment horizontal="center" vertical="center"/>
    </xf>
    <xf numFmtId="1" fontId="5" fillId="7" borderId="1" applyAlignment="1" pivotButton="0" quotePrefix="0" xfId="0">
      <alignment horizontal="center" vertical="center"/>
    </xf>
    <xf numFmtId="9" fontId="5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16" fillId="5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4" fontId="16" fillId="5" borderId="1" applyAlignment="1" pivotButton="0" quotePrefix="0" xfId="0">
      <alignment horizontal="center" vertical="center"/>
    </xf>
    <xf numFmtId="9" fontId="16" fillId="4" borderId="1" applyAlignment="1" pivotButton="0" quotePrefix="0" xfId="0">
      <alignment horizontal="center" vertical="center"/>
    </xf>
    <xf numFmtId="164" fontId="16" fillId="4" borderId="1" applyAlignment="1" pivotButton="0" quotePrefix="0" xfId="0">
      <alignment horizontal="center" vertical="center"/>
    </xf>
    <xf numFmtId="165" fontId="16" fillId="8" borderId="1" applyAlignment="1" pivotButton="0" quotePrefix="0" xfId="0">
      <alignment horizontal="center" vertical="center"/>
    </xf>
    <xf numFmtId="165" fontId="16" fillId="9" borderId="1" applyAlignment="1" pivotButton="0" quotePrefix="0" xfId="0">
      <alignment horizontal="center" vertical="center"/>
    </xf>
    <xf numFmtId="166" fontId="16" fillId="9" borderId="1" applyAlignment="1" pivotButton="0" quotePrefix="0" xfId="0">
      <alignment horizontal="center" vertical="center"/>
    </xf>
    <xf numFmtId="1" fontId="16" fillId="4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4" fillId="7" borderId="1" applyAlignment="1" pivotButton="0" quotePrefix="0" xfId="0">
      <alignment horizontal="center" vertical="center"/>
    </xf>
    <xf numFmtId="9" fontId="4" fillId="7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2" fillId="9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5" fontId="4" fillId="8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165" fontId="24" fillId="0" borderId="1" applyAlignment="1" pivotButton="0" quotePrefix="0" xfId="0">
      <alignment horizontal="center" vertical="center"/>
    </xf>
    <xf numFmtId="164" fontId="25" fillId="4" borderId="1" applyAlignment="1" pivotButton="0" quotePrefix="0" xfId="0">
      <alignment horizontal="center" vertical="center"/>
    </xf>
    <xf numFmtId="165" fontId="25" fillId="4" borderId="1" applyAlignment="1" pivotButton="0" quotePrefix="0" xfId="0">
      <alignment horizontal="center" vertical="center"/>
    </xf>
    <xf numFmtId="0" fontId="23" fillId="9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6" fillId="4" borderId="1" applyAlignment="1" pivotButton="0" quotePrefix="0" xfId="0">
      <alignment horizontal="center" vertical="center"/>
    </xf>
    <xf numFmtId="1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9" fontId="16" fillId="5" borderId="1" applyAlignment="1" pivotButton="0" quotePrefix="0" xfId="0">
      <alignment horizontal="center" vertical="center"/>
    </xf>
    <xf numFmtId="166" fontId="16" fillId="5" borderId="1" applyAlignment="1" pivotButton="0" quotePrefix="0" xfId="0">
      <alignment horizontal="center" vertical="center"/>
    </xf>
    <xf numFmtId="165" fontId="16" fillId="7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5" fontId="28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22" fillId="9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9" fillId="0" borderId="1" applyAlignment="1" pivotButton="0" quotePrefix="0" xfId="0">
      <alignment horizontal="center" vertical="center"/>
    </xf>
    <xf numFmtId="0" fontId="30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9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6" fontId="4" fillId="7" borderId="1" applyAlignment="1" pivotButton="0" quotePrefix="0" xfId="0">
      <alignment horizontal="center" vertical="center"/>
    </xf>
    <xf numFmtId="10" fontId="22" fillId="9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30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164" fontId="7" fillId="8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5" fontId="7" fillId="8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164" fontId="22" fillId="9" borderId="1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165" fontId="33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65" fontId="5" fillId="7" borderId="1" applyAlignment="1" pivotButton="0" quotePrefix="0" xfId="0">
      <alignment horizontal="center" vertical="center"/>
    </xf>
    <xf numFmtId="9" fontId="5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36" fillId="1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1" fontId="16" fillId="5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" fontId="16" fillId="4" borderId="1" applyAlignment="1" pivotButton="0" quotePrefix="0" xfId="0">
      <alignment horizontal="center" vertical="center"/>
    </xf>
    <xf numFmtId="9" fontId="16" fillId="5" borderId="1" applyAlignment="1" pivotButton="0" quotePrefix="0" xfId="0">
      <alignment horizontal="center" vertical="center"/>
    </xf>
    <xf numFmtId="1" fontId="16" fillId="7" borderId="1" applyAlignment="1" pivotButton="0" quotePrefix="0" xfId="0">
      <alignment horizontal="center" vertical="center"/>
    </xf>
    <xf numFmtId="164" fontId="16" fillId="7" borderId="1" applyAlignment="1" pivotButton="0" quotePrefix="0" xfId="0">
      <alignment horizontal="center" vertical="center"/>
    </xf>
    <xf numFmtId="164" fontId="16" fillId="9" borderId="1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 wrapText="1"/>
    </xf>
    <xf numFmtId="1" fontId="4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7">
    <dxf>
      <font>
        <b val="1"/>
        <color rgb="00B3402E"/>
        <sz val="24"/>
      </font>
      <fill>
        <patternFill patternType="solid">
          <fgColor rgb="00F4D8D1"/>
        </patternFill>
      </fill>
    </dxf>
    <dxf>
      <font>
        <b val="1"/>
        <color rgb="002F7D5B"/>
        <sz val="24"/>
      </font>
      <fill>
        <patternFill patternType="solid">
          <fgColor rgb="00D9ECE2"/>
        </patternFill>
      </fill>
    </dxf>
    <dxf>
      <font>
        <b val="1"/>
        <color rgb="00B9831A"/>
        <sz val="24"/>
      </font>
      <fill>
        <patternFill patternType="solid">
          <fgColor rgb="00FBECCB"/>
        </patternFill>
      </fill>
    </dxf>
    <dxf>
      <font>
        <b val="1"/>
        <color rgb="002F7D5B"/>
        <sz val="14"/>
      </font>
      <fill>
        <patternFill patternType="solid">
          <fgColor rgb="00D9ECE2"/>
        </patternFill>
      </fill>
    </dxf>
    <dxf>
      <font>
        <b val="1"/>
        <color rgb="00B9831A"/>
        <sz val="14"/>
      </font>
      <fill>
        <patternFill patternType="solid">
          <fgColor rgb="00FBECCB"/>
        </patternFill>
      </fill>
    </dxf>
    <dxf>
      <font>
        <color rgb="00B3402E"/>
      </font>
    </dxf>
    <dxf>
      <font>
        <b val="1"/>
        <color rgb="002F7D5B"/>
      </font>
    </dxf>
    <dxf>
      <font>
        <b val="1"/>
        <color rgb="00B3402E"/>
      </font>
    </dxf>
    <dxf>
      <font>
        <b val="1"/>
        <color rgb="00B3402E"/>
        <sz val="13"/>
      </font>
      <fill>
        <patternFill patternType="solid">
          <fgColor rgb="00F4D8D1"/>
        </patternFill>
      </fill>
    </dxf>
    <dxf>
      <font>
        <b val="1"/>
        <color rgb="002F7D5B"/>
        <sz val="13"/>
      </font>
      <fill>
        <patternFill patternType="solid">
          <fgColor rgb="00D9ECE2"/>
        </patternFill>
      </fill>
    </dxf>
    <dxf>
      <font>
        <b val="1"/>
        <color rgb="002F7D5B"/>
      </font>
      <fill>
        <patternFill patternType="solid">
          <fgColor rgb="00D9ECE2"/>
        </patternFill>
      </fill>
    </dxf>
    <dxf>
      <font>
        <color rgb="00B3402E"/>
      </font>
      <fill>
        <patternFill patternType="solid">
          <fgColor rgb="00F4D8D1"/>
        </patternFill>
      </fill>
    </dxf>
    <dxf>
      <fill>
        <patternFill patternType="solid">
          <fgColor rgb="00F4D8D1"/>
        </patternFill>
      </fill>
    </dxf>
    <dxf>
      <fill>
        <patternFill patternType="solid">
          <fgColor rgb="00D9ECE2"/>
        </patternFill>
      </fill>
    </dxf>
    <dxf>
      <font>
        <b val="1"/>
        <color rgb="00B3402E"/>
      </font>
      <fill>
        <patternFill patternType="solid">
          <fgColor rgb="00F4D8D1"/>
        </patternFill>
      </fill>
    </dxf>
    <dxf>
      <font>
        <b val="1"/>
        <color rgb="00B9831A"/>
      </font>
      <fill>
        <patternFill patternType="solid">
          <fgColor rgb="00FBECCB"/>
        </patternFill>
      </fill>
    </dxf>
    <dxf>
      <font>
        <b val="1"/>
        <color rgb="009C7415"/>
      </font>
      <fill>
        <patternFill patternType="solid">
          <fgColor rgb="00FBECC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Active book value vs David's comfortable capacity</a:t>
            </a:r>
          </a:p>
        </rich>
      </tx>
    </title>
    <plotArea>
      <lineChart>
        <grouping val="standard"/>
        <ser>
          <idx val="0"/>
          <order val="0"/>
          <tx>
            <strRef>
              <f>'Capacity Lite'!G51</f>
            </strRef>
          </tx>
          <spPr>
            <a:ln w="30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Lite'!$B$52:$B$64</f>
            </numRef>
          </cat>
          <val>
            <numRef>
              <f>'Capacity Lite'!$G$52:$G$64</f>
            </numRef>
          </val>
        </ser>
        <ser>
          <idx val="1"/>
          <order val="1"/>
          <tx>
            <strRef>
              <f>'Capacity Lite'!J51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Lite'!$B$52:$B$64</f>
            </numRef>
          </cat>
          <val>
            <numRef>
              <f>'Capacity Lite'!$J$52:$J$64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Headcount needed as the book grows</a:t>
            </a:r>
          </a:p>
        </rich>
      </tx>
    </title>
    <plotArea>
      <lineChart>
        <grouping val="standard"/>
        <ser>
          <idx val="0"/>
          <order val="0"/>
          <tx>
            <strRef>
              <f>'Org &amp; Hiring'!D54</f>
            </strRef>
          </tx>
          <spPr>
            <a:ln w="34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'Org &amp; Hiring'!$B$55:$B$67</f>
            </numRef>
          </cat>
          <val>
            <numRef>
              <f>'Org &amp; Hiring'!$D$55:$D$67</f>
            </numRef>
          </val>
        </ser>
        <ser>
          <idx val="1"/>
          <order val="1"/>
          <tx>
            <strRef>
              <f>'Org &amp; Hiring'!E54</f>
            </strRef>
          </tx>
          <spPr>
            <a:ln w="26000">
              <a:solidFill>
                <a:srgbClr val="1B2A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'Org &amp; Hiring'!$B$55:$B$67</f>
            </numRef>
          </cat>
          <val>
            <numRef>
              <f>'Org &amp; Hiring'!$E$55:$E$67</f>
            </numRef>
          </val>
        </ser>
        <ser>
          <idx val="2"/>
          <order val="2"/>
          <tx>
            <strRef>
              <f>'Org &amp; Hiring'!F54</f>
            </strRef>
          </tx>
          <spPr>
            <a:ln w="26000">
              <a:solidFill>
                <a:srgbClr val="2F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'Org &amp; Hiring'!$B$55:$B$67</f>
            </numRef>
          </cat>
          <val>
            <numRef>
              <f>'Org &amp; Hiring'!$F$55:$F$67</f>
            </numRef>
          </val>
        </ser>
        <ser>
          <idx val="3"/>
          <order val="3"/>
          <tx>
            <strRef>
              <f>'Org &amp; Hiring'!G54</f>
            </strRef>
          </tx>
          <spPr>
            <a:ln w="26000">
              <a:solidFill>
                <a:srgbClr val="B34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'Org &amp; Hiring'!$B$55:$B$67</f>
            </numRef>
          </cat>
          <val>
            <numRef>
              <f>'Org &amp; Hiring'!$G$55:$G$67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People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James's annual pay: OLD (flat salary) vs NEW (base + growth commission)</a:t>
            </a:r>
          </a:p>
        </rich>
      </tx>
    </title>
    <plotArea>
      <lineChart>
        <grouping val="standard"/>
        <ser>
          <idx val="0"/>
          <order val="0"/>
          <tx>
            <strRef>
              <f>'James — New Comp'!D11</f>
            </strRef>
          </tx>
          <spPr>
            <a:ln w="26000"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'James — New Comp'!$B$12:$B$28</f>
            </numRef>
          </cat>
          <val>
            <numRef>
              <f>'James — New Comp'!$D$12:$D$28</f>
            </numRef>
          </val>
        </ser>
        <ser>
          <idx val="1"/>
          <order val="1"/>
          <tx>
            <strRef>
              <f>'James — New Comp'!E11</f>
            </strRef>
          </tx>
          <spPr>
            <a:ln w="34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'James — New Comp'!$B$12:$B$28</f>
            </numRef>
          </cat>
          <val>
            <numRef>
              <f>'James — New Comp'!$E$12:$E$28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New cases signed per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James pay ($/yr)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through the ramp</a:t>
            </a:r>
          </a:p>
        </rich>
      </tx>
    </title>
    <plotArea>
      <lineChart>
        <grouping val="standard"/>
        <ser>
          <idx val="0"/>
          <order val="0"/>
          <tx>
            <strRef>
              <f>'Cash Timing'!J22</f>
            </strRef>
          </tx>
          <spPr>
            <a:ln w="32000">
              <a:solidFill>
                <a:srgbClr val="1B2A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Timing'!$J$23:$J$40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collections vs run-rate revenue vs commission paid</a:t>
            </a:r>
          </a:p>
        </rich>
      </tx>
    </title>
    <plotArea>
      <lineChart>
        <grouping val="standard"/>
        <ser>
          <idx val="0"/>
          <order val="0"/>
          <tx>
            <strRef>
              <f>'Cash Timing'!F22</f>
            </strRef>
          </tx>
          <spPr>
            <a:ln w="30000">
              <a:solidFill>
                <a:srgbClr val="2F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Timing'!$F$23:$F$40</f>
            </numRef>
          </val>
        </ser>
        <ser>
          <idx val="1"/>
          <order val="1"/>
          <tx>
            <strRef>
              <f>'Cash Timing'!K22</f>
            </strRef>
          </tx>
          <spPr>
            <a:ln>
              <a:solidFill>
                <a:srgbClr val="C8961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Timing'!$K$23:$K$40</f>
            </numRef>
          </val>
        </ser>
        <ser>
          <idx val="2"/>
          <order val="2"/>
          <tx>
            <strRef>
              <f>'Cash Timing'!D22</f>
            </strRef>
          </tx>
          <spPr>
            <a:ln>
              <a:solidFill>
                <a:srgbClr val="B34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Timing'!$D$23:$D$40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Firm net profit vs James commission % (break-even where it meets the old-model line)</a:t>
            </a:r>
          </a:p>
        </rich>
      </tx>
    </title>
    <plotArea>
      <lineChart>
        <grouping val="standard"/>
        <ser>
          <idx val="0"/>
          <order val="0"/>
          <tx>
            <strRef>
              <f>'Comp Optimizer'!D16</f>
            </strRef>
          </tx>
          <spPr>
            <a:ln w="32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 Optimizer'!$B$17:$B$29</f>
            </numRef>
          </cat>
          <val>
            <numRef>
              <f>'Comp Optimizer'!$D$17:$D$29</f>
            </numRef>
          </val>
        </ser>
        <ser>
          <idx val="1"/>
          <order val="1"/>
          <tx>
            <strRef>
              <f>'Comp Optimizer'!G16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 Optimizer'!$B$17:$B$29</f>
            </numRef>
          </cat>
          <val>
            <numRef>
              <f>'Comp Optimizer'!$G$17:$G$29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James commission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Firm net profit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C8961E"/>
    <outlinePr summaryBelow="1" summaryRight="1"/>
    <pageSetUpPr/>
  </sheetPr>
  <dimension ref="B2:J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3" customWidth="1" min="2" max="2"/>
    <col width="13" customWidth="1" min="3" max="3"/>
    <col width="12" customWidth="1" min="4" max="4"/>
    <col width="15" customWidth="1" min="5" max="5"/>
    <col width="5" customWidth="1" min="6" max="6"/>
    <col width="17" customWidth="1" min="7" max="7"/>
    <col width="13" customWidth="1" min="8" max="8"/>
    <col width="13" customWidth="1" min="9" max="9"/>
    <col width="15" customWidth="1" min="10" max="10"/>
    <col width="2" customWidth="1" min="11" max="11"/>
  </cols>
  <sheetData>
    <row r="2" ht="32" customHeight="1">
      <c r="B2" s="118" t="inlineStr">
        <is>
          <t>CAPACITY LITE  ·  Revenue-Based  ·  Calculated vs David's Actuals</t>
        </is>
      </c>
    </row>
    <row r="3" ht="28" customHeight="1">
      <c r="B3" s="66" t="inlineStr">
        <is>
          <t>Capacity is a revenue ceiling per manager, but it can't exceed how many cases a manager can actually carry. The model uses the BINDING (lower) of the two and flags when the base price can't reach the revenue target.</t>
        </is>
      </c>
    </row>
    <row r="5" ht="18" customHeight="1">
      <c r="B5" s="119" t="inlineStr">
        <is>
          <t xml:space="preserve">  INPUTS</t>
        </is>
      </c>
    </row>
    <row r="6" ht="22" customHeight="1">
      <c r="B6" s="120" t="inlineStr">
        <is>
          <t xml:space="preserve">  Full-capacity case managers (FTE)</t>
        </is>
      </c>
      <c r="E6" s="121" t="n">
        <v>4</v>
      </c>
      <c r="G6" s="122" t="inlineStr">
        <is>
          <t>Ramped managers at full capacity.</t>
        </is>
      </c>
    </row>
    <row r="7" ht="22" customHeight="1">
      <c r="B7" s="120" t="inlineStr">
        <is>
          <t xml:space="preserve">  Case managers in training (count)</t>
        </is>
      </c>
      <c r="E7" s="123" t="n">
        <v>1</v>
      </c>
      <c r="G7" s="122" t="inlineStr">
        <is>
          <t>Each counts as 0.5 FTE until ramped.</t>
        </is>
      </c>
    </row>
    <row r="8" ht="22" customHeight="1">
      <c r="B8" s="120" t="inlineStr">
        <is>
          <t xml:space="preserve">  Current active (open) cases</t>
        </is>
      </c>
      <c r="E8" s="123" t="n">
        <v>350</v>
      </c>
      <c r="G8" s="122" t="inlineStr">
        <is>
          <t>Open book right now, all managers.</t>
        </is>
      </c>
    </row>
    <row r="9" ht="22" customHeight="1">
      <c r="B9" s="120" t="inlineStr">
        <is>
          <t xml:space="preserve">  New cases signed / week</t>
        </is>
      </c>
      <c r="E9" s="123" t="n">
        <v>25</v>
      </c>
      <c r="G9" s="122" t="inlineStr">
        <is>
          <t>Sales goal: 3 reps + James.</t>
        </is>
      </c>
    </row>
    <row r="10" ht="22" customHeight="1">
      <c r="B10" s="120" t="inlineStr">
        <is>
          <t xml:space="preserve">  Revenue capacity per manager ($/yr)  — TARGET</t>
        </is>
      </c>
      <c r="E10" s="124" t="n">
        <v>1000000</v>
      </c>
      <c r="G10" s="122" t="inlineStr">
        <is>
          <t>David's aspirational 'full capacity'.</t>
        </is>
      </c>
    </row>
    <row r="11" ht="22" customHeight="1">
      <c r="B11" s="120" t="inlineStr">
        <is>
          <t xml:space="preserve">  Average case value ($)</t>
        </is>
      </c>
      <c r="E11" s="124" t="n">
        <v>7000</v>
      </c>
      <c r="G11" s="122" t="inlineStr">
        <is>
          <t>David — the base price.</t>
        </is>
      </c>
    </row>
    <row r="12" ht="22" customHeight="1">
      <c r="B12" s="120" t="inlineStr">
        <is>
          <t xml:space="preserve">  David's est. cases per manager (operational)</t>
        </is>
      </c>
      <c r="E12" s="125" t="n">
        <v>90</v>
      </c>
      <c r="G12" s="122" t="inlineStr">
        <is>
          <t>David's REAL estimate: 80–100. Caps the calc.</t>
        </is>
      </c>
    </row>
    <row r="13" ht="22" customHeight="1">
      <c r="B13" s="120" t="inlineStr">
        <is>
          <t xml:space="preserve">  Average case lifespan (months)</t>
        </is>
      </c>
      <c r="E13" s="126" t="n">
        <v>12</v>
      </c>
      <c r="G13" s="122" t="inlineStr">
        <is>
          <t>David's estimate.</t>
        </is>
      </c>
    </row>
    <row r="14" ht="22" customHeight="1">
      <c r="B14" s="120" t="inlineStr">
        <is>
          <t xml:space="preserve">  Comfort ceiling (% of capacity)</t>
        </is>
      </c>
      <c r="E14" s="127" t="n">
        <v>0.85</v>
      </c>
      <c r="G14" s="122" t="inlineStr">
        <is>
          <t>Utilization you don't want to exceed.</t>
        </is>
      </c>
    </row>
    <row r="16" ht="18" customHeight="1">
      <c r="B16" s="128" t="inlineStr">
        <is>
          <t xml:space="preserve">  CAPACITY:  CALCULATED  vs  DAVID'S ACTUAL</t>
        </is>
      </c>
    </row>
    <row r="17" ht="18" customHeight="1">
      <c r="B17" s="129" t="inlineStr"/>
      <c r="E17" s="130" t="inlineStr">
        <is>
          <t>CALCULATED (rev-derived)</t>
        </is>
      </c>
      <c r="G17" s="131" t="inlineStr">
        <is>
          <t>DAVID'S ACTUAL (operational)</t>
        </is>
      </c>
      <c r="H17" s="132" t="inlineStr">
        <is>
          <t>← the column that reflects reality</t>
        </is>
      </c>
    </row>
    <row r="18" ht="20" customHeight="1">
      <c r="B18" s="129" t="inlineStr">
        <is>
          <t xml:space="preserve">  Cases per manager</t>
        </is>
      </c>
      <c r="E18" s="133">
        <f>E10/E11</f>
        <v/>
      </c>
      <c r="G18" s="134">
        <f>E12</f>
        <v/>
      </c>
      <c r="H18" s="135" t="inlineStr">
        <is>
          <t>$1M÷$7k = 143   vs   David ~90</t>
        </is>
      </c>
    </row>
    <row r="19" ht="20" customHeight="1">
      <c r="B19" s="129" t="inlineStr">
        <is>
          <t xml:space="preserve">  Revenue per manager</t>
        </is>
      </c>
      <c r="E19" s="136">
        <f>E10</f>
        <v/>
      </c>
      <c r="G19" s="137">
        <f>E12*E11</f>
        <v/>
      </c>
      <c r="H19" s="135" t="inlineStr">
        <is>
          <t>David: 90 × $7k = $630k, not $1M</t>
        </is>
      </c>
    </row>
    <row r="20">
      <c r="B20" s="129" t="inlineStr">
        <is>
          <t xml:space="preserve">  Effective case managers (FTE)</t>
        </is>
      </c>
      <c r="E20" s="138">
        <f>E6+0.5*E7</f>
        <v/>
      </c>
      <c r="G20" s="135" t="inlineStr">
        <is>
          <t>full + ½ × trainees</t>
        </is>
      </c>
    </row>
    <row r="21" ht="20" customHeight="1">
      <c r="B21" s="129" t="inlineStr">
        <is>
          <t xml:space="preserve">  Total case capacity (× FTE)</t>
        </is>
      </c>
      <c r="E21" s="133">
        <f>E20*E18</f>
        <v/>
      </c>
      <c r="G21" s="134">
        <f>E20*G18</f>
        <v/>
      </c>
    </row>
    <row r="22" ht="20" customHeight="1">
      <c r="B22" s="129" t="inlineStr">
        <is>
          <t xml:space="preserve">  Total revenue capacity (× FTE)</t>
        </is>
      </c>
      <c r="E22" s="136">
        <f>E20*E19</f>
        <v/>
      </c>
      <c r="G22" s="137">
        <f>E20*G19</f>
        <v/>
      </c>
    </row>
    <row r="23">
      <c r="B23" s="139" t="inlineStr">
        <is>
          <t xml:space="preserve">  ► Effective (binding) cases per manager</t>
        </is>
      </c>
      <c r="E23" s="140">
        <f>MIN(E18,G18)</f>
        <v/>
      </c>
      <c r="G23" s="141" t="inlineStr">
        <is>
          <t>the LOWER of the two — drives the whole model &amp; other tabs</t>
        </is>
      </c>
    </row>
    <row r="24">
      <c r="B24" s="120" t="inlineStr">
        <is>
          <t xml:space="preserve">  Total revenue shortfall vs target</t>
        </is>
      </c>
      <c r="E24" s="142">
        <f>G22-E22</f>
        <v/>
      </c>
      <c r="G24" s="132" t="inlineStr">
        <is>
          <t>David's total capacity minus the calculated target</t>
        </is>
      </c>
    </row>
    <row r="25">
      <c r="B25" s="129" t="inlineStr">
        <is>
          <t xml:space="preserve">  Case value needed to hit $1M at David's caseload</t>
        </is>
      </c>
      <c r="E25" s="143">
        <f>E10/E12</f>
        <v/>
      </c>
      <c r="G25" s="132" t="inlineStr">
        <is>
          <t>raise price to here, or accept the lower ceiling</t>
        </is>
      </c>
    </row>
    <row r="27">
      <c r="B27" s="120" t="inlineStr">
        <is>
          <t xml:space="preserve">  Model total revenue capacity (binding)</t>
        </is>
      </c>
      <c r="E27" s="137">
        <f>E20*E23*E11</f>
        <v/>
      </c>
      <c r="G27" s="135" t="inlineStr">
        <is>
          <t>effective FTE × binding cases/mgr × case value</t>
        </is>
      </c>
    </row>
    <row r="28">
      <c r="B28" s="120" t="inlineStr">
        <is>
          <t xml:space="preserve">  Model comfortable capacity (at ceiling)</t>
        </is>
      </c>
      <c r="E28" s="137">
        <f>E27*E14</f>
        <v/>
      </c>
    </row>
    <row r="30" ht="18" customHeight="1">
      <c r="B30" s="144" t="inlineStr">
        <is>
          <t xml:space="preserve">  CAPACITY / PRICE FLAG</t>
        </is>
      </c>
    </row>
    <row r="31" ht="22" customHeight="1">
      <c r="B31" s="145">
        <f>IF(G18&lt;E18,"⚠ CAN'T HIT $1M/MGR AT BASE PRICE — At David's "&amp;TEXT(G18,"0")&amp;" cases/mgr each manager tops out at "&amp;TEXT(G19,"$#,##0")&amp;"/yr. "&amp;TEXT(E20,"0.0")&amp;" FTE = "&amp;TEXT(G22,"$#,##0")&amp;" capacity vs the "&amp;TEXT(E22,"$#,##0")&amp;" target ("&amp;TEXT(E24,"$#,##0")&amp;" short). Fix: raise price to "&amp;TEXT(E25,"$#,##0")&amp;"/case, or add managers, or lower the target.","✓ David's operational capacity supports the revenue target at the current base price.")</f>
        <v/>
      </c>
      <c r="C31" s="30" t="n"/>
      <c r="D31" s="30" t="n"/>
      <c r="E31" s="30" t="n"/>
      <c r="F31" s="30" t="n"/>
      <c r="G31" s="30" t="n"/>
      <c r="H31" s="30" t="n"/>
      <c r="I31" s="30" t="n"/>
      <c r="J31" s="31" t="n"/>
    </row>
    <row r="32" ht="22" customHeight="1">
      <c r="B32" s="32" t="n"/>
      <c r="J32" s="33" t="n"/>
    </row>
    <row r="33" ht="22" customHeight="1">
      <c r="B33" s="34" t="n"/>
      <c r="C33" s="35" t="n"/>
      <c r="D33" s="35" t="n"/>
      <c r="E33" s="35" t="n"/>
      <c r="F33" s="35" t="n"/>
      <c r="G33" s="35" t="n"/>
      <c r="H33" s="35" t="n"/>
      <c r="I33" s="35" t="n"/>
      <c r="J33" s="36" t="n"/>
    </row>
    <row r="35" ht="18" customHeight="1">
      <c r="B35" s="119" t="inlineStr">
        <is>
          <t xml:space="preserve">  CURRENT STATE  (against David's binding capacity)</t>
        </is>
      </c>
    </row>
    <row r="36" ht="20" customHeight="1">
      <c r="B36" s="129" t="inlineStr">
        <is>
          <t xml:space="preserve">  Current active book value</t>
        </is>
      </c>
      <c r="E36" s="146">
        <f>E8*E11</f>
        <v/>
      </c>
      <c r="G36" s="135" t="inlineStr">
        <is>
          <t xml:space="preserve">   open cases × case value</t>
        </is>
      </c>
    </row>
    <row r="37" ht="20" customHeight="1">
      <c r="B37" s="129" t="inlineStr">
        <is>
          <t xml:space="preserve">  Revenue utilization</t>
        </is>
      </c>
      <c r="E37" s="147">
        <f>E36/E27</f>
        <v/>
      </c>
      <c r="G37" s="135" t="inlineStr">
        <is>
          <t xml:space="preserve">   book value ÷ binding revenue capacity</t>
        </is>
      </c>
    </row>
    <row r="38" ht="20" customHeight="1">
      <c r="B38" s="129" t="inlineStr">
        <is>
          <t xml:space="preserve">  Headroom to comfort ($)</t>
        </is>
      </c>
      <c r="E38" s="146">
        <f>E28-E36</f>
        <v/>
      </c>
      <c r="G38" s="135" t="inlineStr">
        <is>
          <t xml:space="preserve">   room before the comfort ceiling</t>
        </is>
      </c>
    </row>
    <row r="39" ht="20" customHeight="1">
      <c r="B39" s="129" t="inlineStr">
        <is>
          <t xml:space="preserve">  Headroom to comfort (cases)</t>
        </is>
      </c>
      <c r="E39" s="148">
        <f>E38/E11</f>
        <v/>
      </c>
      <c r="G39" s="135" t="inlineStr">
        <is>
          <t xml:space="preserve">   same headroom in cases</t>
        </is>
      </c>
    </row>
    <row r="40" ht="20" customHeight="1">
      <c r="B40" s="129" t="inlineStr">
        <is>
          <t xml:space="preserve">  New cases / month</t>
        </is>
      </c>
      <c r="E40" s="148">
        <f>E9*52/12</f>
        <v/>
      </c>
      <c r="G40" s="135" t="inlineStr">
        <is>
          <t xml:space="preserve">   25/wk ≈ 108/mo</t>
        </is>
      </c>
    </row>
    <row r="41" ht="20" customHeight="1">
      <c r="B41" s="129" t="inlineStr">
        <is>
          <t xml:space="preserve">  Cases closing / month</t>
        </is>
      </c>
      <c r="E41" s="148">
        <f>E8/E13</f>
        <v/>
      </c>
      <c r="G41" s="135" t="inlineStr">
        <is>
          <t xml:space="preserve">   ≈ open ÷ lifespan</t>
        </is>
      </c>
    </row>
    <row r="42" ht="20" customHeight="1">
      <c r="B42" s="129" t="inlineStr">
        <is>
          <t xml:space="preserve">  Net case growth / month</t>
        </is>
      </c>
      <c r="E42" s="148">
        <f>E40-E41</f>
        <v/>
      </c>
      <c r="G42" s="135" t="inlineStr">
        <is>
          <t xml:space="preserve">   new − closing</t>
        </is>
      </c>
    </row>
    <row r="43" ht="20" customHeight="1">
      <c r="B43" s="129" t="inlineStr">
        <is>
          <t xml:space="preserve">  Months to comfortably full</t>
        </is>
      </c>
      <c r="E43" s="148">
        <f>IF(E42&lt;=0,"stable / shrinking",IF(E38&lt;=0,"already over",E38/E42))</f>
        <v/>
      </c>
      <c r="G43" s="135" t="inlineStr">
        <is>
          <t xml:space="preserve">   headroom ÷ net growth</t>
        </is>
      </c>
    </row>
    <row r="45" ht="30" customHeight="1">
      <c r="B45" s="18">
        <f>IF(E37&gt;=E14,"ADD CAPACITY",IF(E37&lt;=E14-0.2,"SELL MORE","MAINTAIN"))</f>
        <v/>
      </c>
      <c r="C45" s="30" t="n"/>
      <c r="D45" s="30" t="n"/>
      <c r="E45" s="30" t="n"/>
      <c r="F45" s="30" t="n"/>
      <c r="G45" s="30" t="n"/>
      <c r="H45" s="30" t="n"/>
      <c r="I45" s="30" t="n"/>
      <c r="J45" s="31" t="n"/>
    </row>
    <row r="46">
      <c r="B46" s="32" t="n"/>
      <c r="J46" s="33" t="n"/>
    </row>
    <row r="47">
      <c r="B47" s="34" t="n"/>
      <c r="C47" s="35" t="n"/>
      <c r="D47" s="35" t="n"/>
      <c r="E47" s="35" t="n"/>
      <c r="F47" s="35" t="n"/>
      <c r="G47" s="35" t="n"/>
      <c r="H47" s="35" t="n"/>
      <c r="I47" s="35" t="n"/>
      <c r="J47" s="36" t="n"/>
    </row>
    <row r="48">
      <c r="B48" s="149" t="inlineStr">
        <is>
          <t xml:space="preserve">  Now measured against David's real capacity — expect a tighter read than the old $1M-based number.</t>
        </is>
      </c>
    </row>
    <row r="50" ht="18" customHeight="1">
      <c r="B50" s="119" t="inlineStr">
        <is>
          <t xml:space="preserve">  12-MONTH PROJECTION  (utilization vs David's binding capacity)</t>
        </is>
      </c>
    </row>
    <row r="51" ht="30" customHeight="1">
      <c r="B51" s="20" t="inlineStr">
        <is>
          <t>Month</t>
        </is>
      </c>
      <c r="C51" s="20" t="inlineStr">
        <is>
          <t>Open (start)</t>
        </is>
      </c>
      <c r="D51" s="20" t="inlineStr">
        <is>
          <t>New</t>
        </is>
      </c>
      <c r="E51" s="20" t="inlineStr">
        <is>
          <t>Closed</t>
        </is>
      </c>
      <c r="F51" s="20" t="inlineStr">
        <is>
          <t>Open (end)</t>
        </is>
      </c>
      <c r="G51" s="20" t="inlineStr">
        <is>
          <t>Book value</t>
        </is>
      </c>
      <c r="H51" s="20" t="inlineStr">
        <is>
          <t>Rev. util.</t>
        </is>
      </c>
      <c r="I51" s="20" t="inlineStr">
        <is>
          <t>Status</t>
        </is>
      </c>
      <c r="J51" s="20" t="inlineStr">
        <is>
          <t>Comfort cap ($)</t>
        </is>
      </c>
    </row>
    <row r="52">
      <c r="B52" s="150" t="inlineStr">
        <is>
          <t>Now</t>
        </is>
      </c>
      <c r="C52" s="151" t="inlineStr">
        <is>
          <t>—</t>
        </is>
      </c>
      <c r="D52" s="151" t="inlineStr">
        <is>
          <t>—</t>
        </is>
      </c>
      <c r="E52" s="151" t="inlineStr">
        <is>
          <t>—</t>
        </is>
      </c>
      <c r="F52" s="152">
        <f>E8</f>
        <v/>
      </c>
      <c r="G52" s="153">
        <f>F52*$E$11</f>
        <v/>
      </c>
      <c r="H52" s="154">
        <f>G52/$E$27</f>
        <v/>
      </c>
      <c r="I52" s="155">
        <f>IF(H52&gt;=$E$14,"Add capacity",IF(H52&lt;=$E$14-0.2,"Sell more","Maintain"))</f>
        <v/>
      </c>
      <c r="J52" s="156">
        <f>$E$28</f>
        <v/>
      </c>
    </row>
    <row r="53">
      <c r="B53" s="155" t="inlineStr">
        <is>
          <t>Mo 1</t>
        </is>
      </c>
      <c r="C53" s="157">
        <f>F52</f>
        <v/>
      </c>
      <c r="D53" s="157">
        <f>$E$40</f>
        <v/>
      </c>
      <c r="E53" s="157">
        <f>C53/$E$13</f>
        <v/>
      </c>
      <c r="F53" s="152">
        <f>MAX(0,C53+D53-E53)</f>
        <v/>
      </c>
      <c r="G53" s="153">
        <f>F53*$E$11</f>
        <v/>
      </c>
      <c r="H53" s="154">
        <f>G53/$E$27</f>
        <v/>
      </c>
      <c r="I53" s="155">
        <f>IF(H53&gt;=$E$14,"Add capacity",IF(H53&lt;=$E$14-0.2,"Sell more","Maintain"))</f>
        <v/>
      </c>
      <c r="J53" s="156">
        <f>$E$28</f>
        <v/>
      </c>
    </row>
    <row r="54">
      <c r="B54" s="155" t="inlineStr">
        <is>
          <t>Mo 2</t>
        </is>
      </c>
      <c r="C54" s="157">
        <f>F53</f>
        <v/>
      </c>
      <c r="D54" s="157">
        <f>$E$40</f>
        <v/>
      </c>
      <c r="E54" s="157">
        <f>C54/$E$13</f>
        <v/>
      </c>
      <c r="F54" s="152">
        <f>MAX(0,C54+D54-E54)</f>
        <v/>
      </c>
      <c r="G54" s="153">
        <f>F54*$E$11</f>
        <v/>
      </c>
      <c r="H54" s="154">
        <f>G54/$E$27</f>
        <v/>
      </c>
      <c r="I54" s="155">
        <f>IF(H54&gt;=$E$14,"Add capacity",IF(H54&lt;=$E$14-0.2,"Sell more","Maintain"))</f>
        <v/>
      </c>
      <c r="J54" s="156">
        <f>$E$28</f>
        <v/>
      </c>
    </row>
    <row r="55">
      <c r="B55" s="155" t="inlineStr">
        <is>
          <t>Mo 3</t>
        </is>
      </c>
      <c r="C55" s="157">
        <f>F54</f>
        <v/>
      </c>
      <c r="D55" s="157">
        <f>$E$40</f>
        <v/>
      </c>
      <c r="E55" s="157">
        <f>C55/$E$13</f>
        <v/>
      </c>
      <c r="F55" s="152">
        <f>MAX(0,C55+D55-E55)</f>
        <v/>
      </c>
      <c r="G55" s="153">
        <f>F55*$E$11</f>
        <v/>
      </c>
      <c r="H55" s="154">
        <f>G55/$E$27</f>
        <v/>
      </c>
      <c r="I55" s="155">
        <f>IF(H55&gt;=$E$14,"Add capacity",IF(H55&lt;=$E$14-0.2,"Sell more","Maintain"))</f>
        <v/>
      </c>
      <c r="J55" s="156">
        <f>$E$28</f>
        <v/>
      </c>
    </row>
    <row r="56">
      <c r="B56" s="155" t="inlineStr">
        <is>
          <t>Mo 4</t>
        </is>
      </c>
      <c r="C56" s="157">
        <f>F55</f>
        <v/>
      </c>
      <c r="D56" s="157">
        <f>$E$40</f>
        <v/>
      </c>
      <c r="E56" s="157">
        <f>C56/$E$13</f>
        <v/>
      </c>
      <c r="F56" s="152">
        <f>MAX(0,C56+D56-E56)</f>
        <v/>
      </c>
      <c r="G56" s="153">
        <f>F56*$E$11</f>
        <v/>
      </c>
      <c r="H56" s="154">
        <f>G56/$E$27</f>
        <v/>
      </c>
      <c r="I56" s="155">
        <f>IF(H56&gt;=$E$14,"Add capacity",IF(H56&lt;=$E$14-0.2,"Sell more","Maintain"))</f>
        <v/>
      </c>
      <c r="J56" s="156">
        <f>$E$28</f>
        <v/>
      </c>
    </row>
    <row r="57">
      <c r="B57" s="155" t="inlineStr">
        <is>
          <t>Mo 5</t>
        </is>
      </c>
      <c r="C57" s="157">
        <f>F56</f>
        <v/>
      </c>
      <c r="D57" s="157">
        <f>$E$40</f>
        <v/>
      </c>
      <c r="E57" s="157">
        <f>C57/$E$13</f>
        <v/>
      </c>
      <c r="F57" s="152">
        <f>MAX(0,C57+D57-E57)</f>
        <v/>
      </c>
      <c r="G57" s="153">
        <f>F57*$E$11</f>
        <v/>
      </c>
      <c r="H57" s="154">
        <f>G57/$E$27</f>
        <v/>
      </c>
      <c r="I57" s="155">
        <f>IF(H57&gt;=$E$14,"Add capacity",IF(H57&lt;=$E$14-0.2,"Sell more","Maintain"))</f>
        <v/>
      </c>
      <c r="J57" s="156">
        <f>$E$28</f>
        <v/>
      </c>
    </row>
    <row r="58">
      <c r="B58" s="155" t="inlineStr">
        <is>
          <t>Mo 6</t>
        </is>
      </c>
      <c r="C58" s="157">
        <f>F57</f>
        <v/>
      </c>
      <c r="D58" s="157">
        <f>$E$40</f>
        <v/>
      </c>
      <c r="E58" s="157">
        <f>C58/$E$13</f>
        <v/>
      </c>
      <c r="F58" s="152">
        <f>MAX(0,C58+D58-E58)</f>
        <v/>
      </c>
      <c r="G58" s="153">
        <f>F58*$E$11</f>
        <v/>
      </c>
      <c r="H58" s="154">
        <f>G58/$E$27</f>
        <v/>
      </c>
      <c r="I58" s="155">
        <f>IF(H58&gt;=$E$14,"Add capacity",IF(H58&lt;=$E$14-0.2,"Sell more","Maintain"))</f>
        <v/>
      </c>
      <c r="J58" s="156">
        <f>$E$28</f>
        <v/>
      </c>
    </row>
    <row r="59">
      <c r="B59" s="155" t="inlineStr">
        <is>
          <t>Mo 7</t>
        </is>
      </c>
      <c r="C59" s="157">
        <f>F58</f>
        <v/>
      </c>
      <c r="D59" s="157">
        <f>$E$40</f>
        <v/>
      </c>
      <c r="E59" s="157">
        <f>C59/$E$13</f>
        <v/>
      </c>
      <c r="F59" s="152">
        <f>MAX(0,C59+D59-E59)</f>
        <v/>
      </c>
      <c r="G59" s="153">
        <f>F59*$E$11</f>
        <v/>
      </c>
      <c r="H59" s="154">
        <f>G59/$E$27</f>
        <v/>
      </c>
      <c r="I59" s="155">
        <f>IF(H59&gt;=$E$14,"Add capacity",IF(H59&lt;=$E$14-0.2,"Sell more","Maintain"))</f>
        <v/>
      </c>
      <c r="J59" s="156">
        <f>$E$28</f>
        <v/>
      </c>
    </row>
    <row r="60">
      <c r="B60" s="155" t="inlineStr">
        <is>
          <t>Mo 8</t>
        </is>
      </c>
      <c r="C60" s="157">
        <f>F59</f>
        <v/>
      </c>
      <c r="D60" s="157">
        <f>$E$40</f>
        <v/>
      </c>
      <c r="E60" s="157">
        <f>C60/$E$13</f>
        <v/>
      </c>
      <c r="F60" s="152">
        <f>MAX(0,C60+D60-E60)</f>
        <v/>
      </c>
      <c r="G60" s="153">
        <f>F60*$E$11</f>
        <v/>
      </c>
      <c r="H60" s="154">
        <f>G60/$E$27</f>
        <v/>
      </c>
      <c r="I60" s="155">
        <f>IF(H60&gt;=$E$14,"Add capacity",IF(H60&lt;=$E$14-0.2,"Sell more","Maintain"))</f>
        <v/>
      </c>
      <c r="J60" s="156">
        <f>$E$28</f>
        <v/>
      </c>
    </row>
    <row r="61">
      <c r="B61" s="155" t="inlineStr">
        <is>
          <t>Mo 9</t>
        </is>
      </c>
      <c r="C61" s="157">
        <f>F60</f>
        <v/>
      </c>
      <c r="D61" s="157">
        <f>$E$40</f>
        <v/>
      </c>
      <c r="E61" s="157">
        <f>C61/$E$13</f>
        <v/>
      </c>
      <c r="F61" s="152">
        <f>MAX(0,C61+D61-E61)</f>
        <v/>
      </c>
      <c r="G61" s="153">
        <f>F61*$E$11</f>
        <v/>
      </c>
      <c r="H61" s="154">
        <f>G61/$E$27</f>
        <v/>
      </c>
      <c r="I61" s="155">
        <f>IF(H61&gt;=$E$14,"Add capacity",IF(H61&lt;=$E$14-0.2,"Sell more","Maintain"))</f>
        <v/>
      </c>
      <c r="J61" s="156">
        <f>$E$28</f>
        <v/>
      </c>
    </row>
    <row r="62">
      <c r="B62" s="155" t="inlineStr">
        <is>
          <t>Mo 10</t>
        </is>
      </c>
      <c r="C62" s="157">
        <f>F61</f>
        <v/>
      </c>
      <c r="D62" s="157">
        <f>$E$40</f>
        <v/>
      </c>
      <c r="E62" s="157">
        <f>C62/$E$13</f>
        <v/>
      </c>
      <c r="F62" s="152">
        <f>MAX(0,C62+D62-E62)</f>
        <v/>
      </c>
      <c r="G62" s="153">
        <f>F62*$E$11</f>
        <v/>
      </c>
      <c r="H62" s="154">
        <f>G62/$E$27</f>
        <v/>
      </c>
      <c r="I62" s="155">
        <f>IF(H62&gt;=$E$14,"Add capacity",IF(H62&lt;=$E$14-0.2,"Sell more","Maintain"))</f>
        <v/>
      </c>
      <c r="J62" s="156">
        <f>$E$28</f>
        <v/>
      </c>
    </row>
    <row r="63">
      <c r="B63" s="155" t="inlineStr">
        <is>
          <t>Mo 11</t>
        </is>
      </c>
      <c r="C63" s="157">
        <f>F62</f>
        <v/>
      </c>
      <c r="D63" s="157">
        <f>$E$40</f>
        <v/>
      </c>
      <c r="E63" s="157">
        <f>C63/$E$13</f>
        <v/>
      </c>
      <c r="F63" s="152">
        <f>MAX(0,C63+D63-E63)</f>
        <v/>
      </c>
      <c r="G63" s="153">
        <f>F63*$E$11</f>
        <v/>
      </c>
      <c r="H63" s="154">
        <f>G63/$E$27</f>
        <v/>
      </c>
      <c r="I63" s="155">
        <f>IF(H63&gt;=$E$14,"Add capacity",IF(H63&lt;=$E$14-0.2,"Sell more","Maintain"))</f>
        <v/>
      </c>
      <c r="J63" s="156">
        <f>$E$28</f>
        <v/>
      </c>
    </row>
    <row r="64">
      <c r="B64" s="155" t="inlineStr">
        <is>
          <t>Mo 12</t>
        </is>
      </c>
      <c r="C64" s="157">
        <f>F63</f>
        <v/>
      </c>
      <c r="D64" s="157">
        <f>$E$40</f>
        <v/>
      </c>
      <c r="E64" s="157">
        <f>C64/$E$13</f>
        <v/>
      </c>
      <c r="F64" s="152">
        <f>MAX(0,C64+D64-E64)</f>
        <v/>
      </c>
      <c r="G64" s="153">
        <f>F64*$E$11</f>
        <v/>
      </c>
      <c r="H64" s="154">
        <f>G64/$E$27</f>
        <v/>
      </c>
      <c r="I64" s="155">
        <f>IF(H64&gt;=$E$14,"Add capacity",IF(H64&lt;=$E$14-0.2,"Sell more","Maintain"))</f>
        <v/>
      </c>
      <c r="J64" s="156">
        <f>$E$28</f>
        <v/>
      </c>
    </row>
    <row r="66" ht="18" customHeight="1">
      <c r="B66" s="128" t="inlineStr">
        <is>
          <t xml:space="preserve">  NOTES &amp; ASSUMPTIONS</t>
        </is>
      </c>
    </row>
    <row r="67" ht="30" customHeight="1">
      <c r="B67" s="29" t="inlineStr">
        <is>
          <t>•  RECONCILIATION: '$1M per manager' implies ~143 cases at a $7,000 base price, but David estimates a manager realistically carries 80–100. The model now uses the BINDING (lower) figure — David's — so capacity, utilization and every downstream tab reflect reality, not the arithmetic ceiling.</t>
        </is>
      </c>
    </row>
    <row r="68" ht="30" customHeight="1">
      <c r="B68" s="29" t="inlineStr">
        <is>
          <t>•  The flag fires whenever David's operational cases/mgr is below the revenue-derived number: it means the base price can't reach the $1M target with that caseload. Options shown: raise price, add managers, or lower the target.</t>
        </is>
      </c>
    </row>
    <row r="69" ht="30" customHeight="1">
      <c r="B69" s="29" t="inlineStr">
        <is>
          <t>•  Because capacity is now David's (~90 not ~143), utilization reads much higher than the old version — that is the point of your correction.</t>
        </is>
      </c>
    </row>
    <row r="70" ht="30" customHeight="1">
      <c r="B70" s="29" t="inlineStr">
        <is>
          <t>•  Trainees = 0.5 FTE until ramped. Adjust as new hires gain experience.</t>
        </is>
      </c>
    </row>
    <row r="71" ht="30" customHeight="1">
      <c r="B71" s="29" t="inlineStr">
        <is>
          <t>•  The Profitability, Cash Timing and Comp Optimizer tabs now size the case-manager team off David's binding cases/mgr, so their headcount and cost reflect his real numbers too.</t>
        </is>
      </c>
    </row>
    <row r="72" ht="30" customHeight="1">
      <c r="B72" s="29" t="inlineStr">
        <is>
          <t>•  All comp/cost figures on the other tabs remain placeholders pending David's actuals.</t>
        </is>
      </c>
    </row>
  </sheetData>
  <mergeCells count="42">
    <mergeCell ref="B67:J67"/>
    <mergeCell ref="G20:J20"/>
    <mergeCell ref="G25:J25"/>
    <mergeCell ref="H17:J17"/>
    <mergeCell ref="G41:J41"/>
    <mergeCell ref="B69:J69"/>
    <mergeCell ref="G40:J40"/>
    <mergeCell ref="G9:J9"/>
    <mergeCell ref="H19:J19"/>
    <mergeCell ref="G43:J43"/>
    <mergeCell ref="G12:J12"/>
    <mergeCell ref="G11:J11"/>
    <mergeCell ref="G27:J27"/>
    <mergeCell ref="B30:J30"/>
    <mergeCell ref="G36:J36"/>
    <mergeCell ref="B68:J68"/>
    <mergeCell ref="G42:J42"/>
    <mergeCell ref="B5:J5"/>
    <mergeCell ref="H18:J18"/>
    <mergeCell ref="G23:J23"/>
    <mergeCell ref="G39:J39"/>
    <mergeCell ref="G8:J8"/>
    <mergeCell ref="B45:J47"/>
    <mergeCell ref="B50:J50"/>
    <mergeCell ref="G7:J7"/>
    <mergeCell ref="G38:J38"/>
    <mergeCell ref="B35:J35"/>
    <mergeCell ref="G37:J37"/>
    <mergeCell ref="B16:J16"/>
    <mergeCell ref="G10:J10"/>
    <mergeCell ref="G6:J6"/>
    <mergeCell ref="G13:J13"/>
    <mergeCell ref="B72:J72"/>
    <mergeCell ref="B3:J3"/>
    <mergeCell ref="B66:J66"/>
    <mergeCell ref="B31:J33"/>
    <mergeCell ref="B48:J48"/>
    <mergeCell ref="G24:J24"/>
    <mergeCell ref="B71:J71"/>
    <mergeCell ref="B70:J70"/>
    <mergeCell ref="B2:J2"/>
    <mergeCell ref="G14:J14"/>
  </mergeCells>
  <conditionalFormatting sqref="B31">
    <cfRule type="expression" priority="1" dxfId="12">
      <formula>G18&lt;E18</formula>
    </cfRule>
    <cfRule type="expression" priority="2" dxfId="13">
      <formula>G18&gt;=E18</formula>
    </cfRule>
  </conditionalFormatting>
  <conditionalFormatting sqref="B45">
    <cfRule type="expression" priority="3" dxfId="0">
      <formula>ISNUMBER(SEARCH("ADD",B45))</formula>
    </cfRule>
    <cfRule type="expression" priority="4" dxfId="1">
      <formula>ISNUMBER(SEARCH("SELL",B45))</formula>
    </cfRule>
    <cfRule type="expression" priority="5" dxfId="2">
      <formula>ISNUMBER(SEARCH("MAINTAIN",B45))</formula>
    </cfRule>
  </conditionalFormatting>
  <conditionalFormatting sqref="H52:H64">
    <cfRule type="colorScale" priority="6">
      <colorScale>
        <cfvo type="num" val="0"/>
        <cfvo type="num" val="0.7"/>
        <cfvo type="num" val="1"/>
        <color rgb="00D9ECE2"/>
        <color rgb="00FBECCB"/>
        <color rgb="00F4D8D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B2A4A"/>
    <outlinePr summaryBelow="1" summaryRight="1"/>
    <pageSetUpPr/>
  </sheetPr>
  <dimension ref="B2:I7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4" customWidth="1" min="5" max="5"/>
    <col width="13" customWidth="1" min="6" max="6"/>
    <col width="13" customWidth="1" min="7" max="7"/>
    <col width="16" customWidth="1" min="8" max="8"/>
    <col width="13" customWidth="1" min="9" max="9"/>
    <col width="2" customWidth="1" min="10" max="10"/>
  </cols>
  <sheetData>
    <row r="2" ht="32" customHeight="1">
      <c r="B2" s="158" t="inlineStr">
        <is>
          <t>ORG &amp; HIRING TRIGGERS</t>
        </is>
      </c>
    </row>
    <row r="3" ht="28" customHeight="1">
      <c r="B3" s="66" t="inlineStr">
        <is>
          <t>When to add each kind of human. Four roles, four different triggers — all driven by the Capacity Lite numbers. Edit the yellow rules; the status flags and 12-month plan recalc.</t>
        </is>
      </c>
    </row>
    <row r="5" ht="18" customHeight="1">
      <c r="B5" s="159" t="inlineStr">
        <is>
          <t xml:space="preserve">  CURRENT ORG  (from David J Griggs CPA org chart, July 2026)</t>
        </is>
      </c>
    </row>
    <row r="6">
      <c r="B6" s="160" t="inlineStr">
        <is>
          <t>Function / Role</t>
        </is>
      </c>
      <c r="C6" s="79" t="n"/>
      <c r="D6" s="160" t="inlineStr">
        <is>
          <t>Person</t>
        </is>
      </c>
      <c r="E6" s="79" t="n"/>
      <c r="F6" s="160" t="inlineStr">
        <is>
          <t>Type</t>
        </is>
      </c>
      <c r="G6" s="79" t="n"/>
      <c r="H6" s="161" t="inlineStr">
        <is>
          <t>Count</t>
        </is>
      </c>
    </row>
    <row r="7" ht="18" customHeight="1">
      <c r="B7" s="162" t="inlineStr">
        <is>
          <t xml:space="preserve">  CEO</t>
        </is>
      </c>
      <c r="D7" s="163" t="inlineStr">
        <is>
          <t>David Griggs</t>
        </is>
      </c>
      <c r="F7" s="164" t="inlineStr">
        <is>
          <t>direct</t>
        </is>
      </c>
      <c r="H7" s="165" t="n">
        <v>1</v>
      </c>
    </row>
    <row r="8" ht="18" customHeight="1">
      <c r="B8" s="162" t="inlineStr">
        <is>
          <t xml:space="preserve">  Sales management</t>
        </is>
      </c>
      <c r="D8" s="163" t="inlineStr">
        <is>
          <t>Josh Alltop</t>
        </is>
      </c>
      <c r="F8" s="164" t="inlineStr">
        <is>
          <t>contract</t>
        </is>
      </c>
      <c r="H8" s="165" t="n">
        <v>1</v>
      </c>
    </row>
    <row r="9" ht="18" customHeight="1">
      <c r="B9" s="162" t="inlineStr">
        <is>
          <t xml:space="preserve">  Account Executive</t>
        </is>
      </c>
      <c r="D9" s="163" t="inlineStr">
        <is>
          <t>(new role — hiring)</t>
        </is>
      </c>
      <c r="F9" s="164" t="inlineStr">
        <is>
          <t>direct</t>
        </is>
      </c>
      <c r="H9" s="165" t="n">
        <v>1</v>
      </c>
    </row>
    <row r="10" ht="18" customHeight="1">
      <c r="B10" s="162" t="inlineStr">
        <is>
          <t xml:space="preserve">  Case Director</t>
        </is>
      </c>
      <c r="D10" s="163" t="inlineStr">
        <is>
          <t>James</t>
        </is>
      </c>
      <c r="F10" s="164" t="inlineStr">
        <is>
          <t>direct</t>
        </is>
      </c>
      <c r="H10" s="165" t="n">
        <v>1</v>
      </c>
    </row>
    <row r="11" ht="18" customHeight="1">
      <c r="B11" s="166" t="inlineStr">
        <is>
          <t xml:space="preserve">  Case Managers</t>
        </is>
      </c>
      <c r="D11" s="163" t="inlineStr">
        <is>
          <t>4 × 80–100 accounts</t>
        </is>
      </c>
      <c r="F11" s="164" t="inlineStr">
        <is>
          <t>direct</t>
        </is>
      </c>
      <c r="H11" s="165" t="n">
        <v>4</v>
      </c>
    </row>
    <row r="12" ht="18" customHeight="1">
      <c r="B12" s="166" t="inlineStr">
        <is>
          <t xml:space="preserve">  Admin / case support</t>
        </is>
      </c>
      <c r="D12" s="163" t="inlineStr">
        <is>
          <t>— none today —</t>
        </is>
      </c>
      <c r="F12" s="164" t="inlineStr">
        <is>
          <t>gap</t>
        </is>
      </c>
      <c r="H12" s="167" t="n">
        <v>0</v>
      </c>
    </row>
    <row r="13" ht="18" customHeight="1">
      <c r="B13" s="162" t="inlineStr">
        <is>
          <t xml:space="preserve">  Operations (advisory)</t>
        </is>
      </c>
      <c r="D13" s="163" t="inlineStr">
        <is>
          <t>Denise O'Donnell</t>
        </is>
      </c>
      <c r="F13" s="164" t="inlineStr">
        <is>
          <t>contract</t>
        </is>
      </c>
      <c r="H13" s="165" t="n">
        <v>1</v>
      </c>
    </row>
    <row r="14" ht="18" customHeight="1">
      <c r="B14" s="162" t="inlineStr">
        <is>
          <t xml:space="preserve">  Strategy &amp; HR (advisory)</t>
        </is>
      </c>
      <c r="D14" s="163" t="inlineStr">
        <is>
          <t>Vanessa Esquivel</t>
        </is>
      </c>
      <c r="F14" s="164" t="inlineStr">
        <is>
          <t>contract</t>
        </is>
      </c>
      <c r="H14" s="165" t="n">
        <v>1</v>
      </c>
    </row>
    <row r="15">
      <c r="B15" s="168" t="inlineStr">
        <is>
          <t xml:space="preserve">  ► No dedicated admin today — this is why case managers cap at ~90 accounts, not the ~130 they carried WITH admin support.</t>
        </is>
      </c>
    </row>
    <row r="17" ht="18" customHeight="1">
      <c r="B17" s="169" t="inlineStr">
        <is>
          <t xml:space="preserve">  STAFFING RULES &amp; CURRENT COUNTS  (yellow = editable)</t>
        </is>
      </c>
    </row>
    <row r="18" ht="18" customHeight="1">
      <c r="B18" s="162" t="inlineStr">
        <is>
          <t xml:space="preserve">  Cases per manager — no admin</t>
        </is>
      </c>
      <c r="E18" s="170">
        <f>'Capacity Lite'!E12</f>
        <v/>
      </c>
      <c r="F18" s="171" t="inlineStr">
        <is>
          <t>David's operational estimate (linked)</t>
        </is>
      </c>
    </row>
    <row r="19" ht="18" customHeight="1">
      <c r="B19" s="162" t="inlineStr">
        <is>
          <t xml:space="preserve">  Cases per manager — with full admin</t>
        </is>
      </c>
      <c r="E19" s="172" t="n">
        <v>130</v>
      </c>
      <c r="F19" s="171" t="inlineStr">
        <is>
          <t>the 130 historical, with support</t>
        </is>
      </c>
    </row>
    <row r="20" ht="18" customHeight="1">
      <c r="B20" s="162" t="inlineStr">
        <is>
          <t xml:space="preserve">  Case managers per admin</t>
        </is>
      </c>
      <c r="E20" s="172" t="n">
        <v>3</v>
      </c>
      <c r="F20" s="171" t="inlineStr">
        <is>
          <t>how many CMs one admin supports</t>
        </is>
      </c>
    </row>
    <row r="21" ht="18" customHeight="1">
      <c r="B21" s="162" t="inlineStr">
        <is>
          <t xml:space="preserve">  New cases / month one AE can close</t>
        </is>
      </c>
      <c r="E21" s="172" t="n">
        <v>40</v>
      </c>
      <c r="F21" s="171" t="inlineStr">
        <is>
          <t>sales throughput per Account Executive</t>
        </is>
      </c>
    </row>
    <row r="22" ht="18" customHeight="1">
      <c r="B22" s="162" t="inlineStr">
        <is>
          <t xml:space="preserve">  Case managers per Case Director (span)</t>
        </is>
      </c>
      <c r="E22" s="172" t="n">
        <v>6</v>
      </c>
      <c r="F22" s="171" t="inlineStr">
        <is>
          <t>management span of control</t>
        </is>
      </c>
    </row>
    <row r="23" ht="18" customHeight="1">
      <c r="B23" s="162" t="inlineStr">
        <is>
          <t xml:space="preserve">  Current case managers</t>
        </is>
      </c>
      <c r="E23" s="172" t="n">
        <v>4</v>
      </c>
      <c r="F23" s="171" t="inlineStr">
        <is>
          <t>from org chart</t>
        </is>
      </c>
    </row>
    <row r="24" ht="18" customHeight="1">
      <c r="B24" s="162" t="inlineStr">
        <is>
          <t xml:space="preserve">  Current admins</t>
        </is>
      </c>
      <c r="E24" s="172" t="n">
        <v>0</v>
      </c>
      <c r="F24" s="171" t="inlineStr">
        <is>
          <t>from org chart</t>
        </is>
      </c>
    </row>
    <row r="25" ht="18" customHeight="1">
      <c r="B25" s="162" t="inlineStr">
        <is>
          <t xml:space="preserve">  Current Account Executives</t>
        </is>
      </c>
      <c r="E25" s="172" t="n">
        <v>1</v>
      </c>
      <c r="F25" s="171" t="inlineStr">
        <is>
          <t>incl. the new hire</t>
        </is>
      </c>
    </row>
    <row r="26" ht="18" customHeight="1">
      <c r="B26" s="162" t="inlineStr">
        <is>
          <t xml:space="preserve">  Current Case Directors</t>
        </is>
      </c>
      <c r="E26" s="172" t="n">
        <v>1</v>
      </c>
      <c r="F26" s="171" t="inlineStr">
        <is>
          <t>James</t>
        </is>
      </c>
    </row>
    <row r="27" ht="18" customHeight="1">
      <c r="B27" s="162" t="inlineStr">
        <is>
          <t xml:space="preserve">  Hire trigger (utilization)</t>
        </is>
      </c>
      <c r="E27" s="173">
        <f>'Capacity Lite'!E14</f>
        <v/>
      </c>
      <c r="F27" s="171" t="inlineStr">
        <is>
          <t>hire before crossing this (linked)</t>
        </is>
      </c>
    </row>
    <row r="29" ht="18" customHeight="1">
      <c r="B29" s="159" t="inlineStr">
        <is>
          <t xml:space="preserve">  DRIVERS &amp; EFFECTIVE CAPACITY</t>
        </is>
      </c>
    </row>
    <row r="30">
      <c r="B30" s="162" t="inlineStr">
        <is>
          <t xml:space="preserve">  Current open cases</t>
        </is>
      </c>
      <c r="E30" s="174">
        <f>'Capacity Lite'!E8</f>
        <v/>
      </c>
      <c r="F30" s="171" t="inlineStr">
        <is>
          <t>linked from Capacity Lite</t>
        </is>
      </c>
    </row>
    <row r="31">
      <c r="B31" s="162" t="inlineStr">
        <is>
          <t xml:space="preserve">  New cases / month</t>
        </is>
      </c>
      <c r="E31" s="175">
        <f>'Capacity Lite'!E40</f>
        <v/>
      </c>
      <c r="F31" s="171" t="inlineStr">
        <is>
          <t>linked from Capacity Lite</t>
        </is>
      </c>
    </row>
    <row r="32">
      <c r="B32" s="166" t="inlineStr">
        <is>
          <t xml:space="preserve">  Effective cases / manager (with current admin)</t>
        </is>
      </c>
      <c r="E32" s="176">
        <f>E18+(E19-E18)*MIN(1,E24/ROUNDUP(E23/E20,0))</f>
        <v/>
      </c>
      <c r="F32" s="177" t="inlineStr">
        <is>
          <t>admin coverage lifts CM capacity 90→130</t>
        </is>
      </c>
    </row>
    <row r="34" ht="18" customHeight="1">
      <c r="B34" s="169" t="inlineStr">
        <is>
          <t xml:space="preserve">  HIRE TRIGGERS  —  where you stand right now</t>
        </is>
      </c>
    </row>
    <row r="35" ht="28" customHeight="1">
      <c r="B35" s="20" t="inlineStr">
        <is>
          <t>Role</t>
        </is>
      </c>
      <c r="C35" s="20" t="inlineStr">
        <is>
          <t>Driver</t>
        </is>
      </c>
      <c r="D35" s="20" t="inlineStr">
        <is>
          <t>Capacity each</t>
        </is>
      </c>
      <c r="E35" s="20" t="inlineStr">
        <is>
          <t>Need (to comfort)</t>
        </is>
      </c>
      <c r="F35" s="20" t="inlineStr">
        <is>
          <t>Have</t>
        </is>
      </c>
      <c r="G35" s="20" t="inlineStr">
        <is>
          <t>Gap</t>
        </is>
      </c>
      <c r="H35" s="20" t="inlineStr">
        <is>
          <t>Status</t>
        </is>
      </c>
    </row>
    <row r="36" ht="20" customHeight="1">
      <c r="B36" s="166" t="inlineStr">
        <is>
          <t xml:space="preserve">  Case Managers</t>
        </is>
      </c>
      <c r="C36" s="178">
        <f>"open cases"</f>
        <v/>
      </c>
      <c r="D36" s="179">
        <f>E32</f>
        <v/>
      </c>
      <c r="E36" s="165">
        <f>ROUNDUP('Capacity Lite'!E8/(E32*E27),0)</f>
        <v/>
      </c>
      <c r="F36" s="180">
        <f>E23</f>
        <v/>
      </c>
      <c r="G36" s="165">
        <f>E36-F36</f>
        <v/>
      </c>
      <c r="H36" s="181">
        <f>IF('Capacity Lite'!E8/(E23*E32)&gt;1,"HIRE NOW",IF('Capacity Lite'!E8/(E23*E32)&gt;E27,"HIRE SOON","OK"))</f>
        <v/>
      </c>
    </row>
    <row r="37" ht="20" customHeight="1">
      <c r="B37" s="166" t="inlineStr">
        <is>
          <t xml:space="preserve">  Admins</t>
        </is>
      </c>
      <c r="C37" s="178">
        <f>"case mgrs"</f>
        <v/>
      </c>
      <c r="D37" s="179">
        <f>E20</f>
        <v/>
      </c>
      <c r="E37" s="165">
        <f>ROUNDUP(E23/E20,0)</f>
        <v/>
      </c>
      <c r="F37" s="180">
        <f>E24</f>
        <v/>
      </c>
      <c r="G37" s="165">
        <f>E37-F37</f>
        <v/>
      </c>
      <c r="H37" s="181">
        <f>IF(E24&lt;ROUNDUP(E23/E20,0),"HIRE NOW","OK")</f>
        <v/>
      </c>
    </row>
    <row r="38" ht="20" customHeight="1">
      <c r="B38" s="166" t="inlineStr">
        <is>
          <t xml:space="preserve">  Account Executives</t>
        </is>
      </c>
      <c r="C38" s="178">
        <f>"new/mo"</f>
        <v/>
      </c>
      <c r="D38" s="179">
        <f>E21</f>
        <v/>
      </c>
      <c r="E38" s="165">
        <f>ROUNDUP('Capacity Lite'!E40/E21,0)</f>
        <v/>
      </c>
      <c r="F38" s="180">
        <f>E25</f>
        <v/>
      </c>
      <c r="G38" s="165">
        <f>E38-F38</f>
        <v/>
      </c>
      <c r="H38" s="181">
        <f>IF(E25&lt;ROUNDUP('Capacity Lite'!E40/E21,0),"HIRE NOW","OK")</f>
        <v/>
      </c>
    </row>
    <row r="39" ht="20" customHeight="1">
      <c r="B39" s="166" t="inlineStr">
        <is>
          <t xml:space="preserve">  Case Directors</t>
        </is>
      </c>
      <c r="C39" s="178">
        <f>"case mgrs"</f>
        <v/>
      </c>
      <c r="D39" s="179">
        <f>E22</f>
        <v/>
      </c>
      <c r="E39" s="165">
        <f>ROUNDUP(E23/E22,0)</f>
        <v/>
      </c>
      <c r="F39" s="180">
        <f>E26</f>
        <v/>
      </c>
      <c r="G39" s="165">
        <f>E39-F39</f>
        <v/>
      </c>
      <c r="H39" s="181">
        <f>IF(E26&lt;ROUNDUP(E23/E22,0),"HIRE","OK")</f>
        <v/>
      </c>
    </row>
    <row r="41" ht="18" customHeight="1">
      <c r="B41" s="159" t="inlineStr">
        <is>
          <t xml:space="preserve">  NEXT-HIRE THRESHOLDS  (plain English)</t>
        </is>
      </c>
    </row>
    <row r="42" ht="20" customHeight="1">
      <c r="B42" s="182">
        <f>CONCATENATE("Add Case Manager #",TEXT(E23+1,"0")," when open cases exceed ",TEXT(E23*E32*E27,"0")," (comfort) — hard ceiling ",TEXT(E23*E32,"0"),".")</f>
        <v/>
      </c>
    </row>
    <row r="43" ht="20" customHeight="1">
      <c r="B43" s="182">
        <f>CONCATENATE("Add your 1st/next Admin when case managers reach ",TEXT((E24+1)*E20,"0"),". Each admin lifts CM capacity toward ",TEXT(E19,"0")," accounts.")</f>
        <v/>
      </c>
    </row>
    <row r="44" ht="20" customHeight="1">
      <c r="B44" s="182">
        <f>CONCATENATE("Add Account Executive #",TEXT(E25+1,"0")," when new cases/month exceed ",TEXT(E25*E21,"0"),". You are at ",TEXT('Capacity Lite'!E40,"0"),"/mo now.")</f>
        <v/>
      </c>
    </row>
    <row r="45" ht="20" customHeight="1">
      <c r="B45" s="182">
        <f>CONCATENATE("Add a 2nd Case Director when case managers exceed ",TEXT(E22*E26,"0"),".")</f>
        <v/>
      </c>
    </row>
    <row r="47" ht="18" customHeight="1">
      <c r="B47" s="169" t="inlineStr">
        <is>
          <t xml:space="preserve">  HUMANS vs ADMINS — the capacity lever</t>
        </is>
      </c>
    </row>
    <row r="48">
      <c r="B48" s="162" t="inlineStr">
        <is>
          <t xml:space="preserve">  Case managers to carry today's book — NO admin (90)</t>
        </is>
      </c>
      <c r="E48" s="183">
        <f>ROUNDUP('Capacity Lite'!E8/E18,0)</f>
        <v/>
      </c>
    </row>
    <row r="49">
      <c r="B49" s="162" t="inlineStr">
        <is>
          <t xml:space="preserve">  Case managers — WITH full admin (130)</t>
        </is>
      </c>
      <c r="E49" s="183">
        <f>ROUNDUP('Capacity Lite'!E8/E19,0)</f>
        <v/>
      </c>
    </row>
    <row r="50">
      <c r="B50" s="162" t="inlineStr">
        <is>
          <t xml:space="preserve">  Admins needed for that full-support level</t>
        </is>
      </c>
      <c r="E50" s="183">
        <f>ROUNDUP(E49/E20,0)</f>
        <v/>
      </c>
    </row>
    <row r="51" ht="30" customHeight="1">
      <c r="B51" s="184">
        <f>CONCATENATE("► Adding ",TEXT(E50,"0")," admin(s) lets ",TEXT(E48-E49,"0")," fewer case manager(s) carry the same book. Admins are the cheaper capacity lever until you outgrow them.")</f>
        <v/>
      </c>
      <c r="C51" s="78" t="n"/>
      <c r="D51" s="78" t="n"/>
      <c r="E51" s="78" t="n"/>
      <c r="F51" s="78" t="n"/>
      <c r="G51" s="78" t="n"/>
      <c r="H51" s="78" t="n"/>
      <c r="I51" s="79" t="n"/>
    </row>
    <row r="53" ht="18" customHeight="1">
      <c r="B53" s="159" t="inlineStr">
        <is>
          <t xml:space="preserve">  12-MONTH STAFFING PLAN  (headcount needed as the book grows)</t>
        </is>
      </c>
    </row>
    <row r="54" ht="28" customHeight="1">
      <c r="B54" s="20" t="inlineStr">
        <is>
          <t>Month</t>
        </is>
      </c>
      <c r="C54" s="20" t="inlineStr">
        <is>
          <t>Open cases</t>
        </is>
      </c>
      <c r="D54" s="20" t="inlineStr">
        <is>
          <t>Case Mgrs</t>
        </is>
      </c>
      <c r="E54" s="20" t="inlineStr">
        <is>
          <t>Admins</t>
        </is>
      </c>
      <c r="F54" s="20" t="inlineStr">
        <is>
          <t>Account Execs</t>
        </is>
      </c>
      <c r="G54" s="20" t="inlineStr">
        <is>
          <t>Case Directors</t>
        </is>
      </c>
    </row>
    <row r="55" ht="15" customHeight="1">
      <c r="B55" s="181" t="inlineStr">
        <is>
          <t>Now</t>
        </is>
      </c>
      <c r="C55" s="180">
        <f>'Capacity Lite'!F52</f>
        <v/>
      </c>
      <c r="D55" s="165">
        <f>ROUNDUP('Capacity Lite'!F52/(E32*E27),0)</f>
        <v/>
      </c>
      <c r="E55" s="180">
        <f>ROUNDUP(D55/E20,0)</f>
        <v/>
      </c>
      <c r="F55" s="180">
        <f>ROUNDUP('Capacity Lite'!E40/E21,0)</f>
        <v/>
      </c>
      <c r="G55" s="180">
        <f>ROUNDUP(D55/E22,0)</f>
        <v/>
      </c>
    </row>
    <row r="56" ht="15" customHeight="1">
      <c r="B56" s="178" t="inlineStr">
        <is>
          <t>Mo 1</t>
        </is>
      </c>
      <c r="C56" s="180">
        <f>'Capacity Lite'!F53</f>
        <v/>
      </c>
      <c r="D56" s="165">
        <f>ROUNDUP('Capacity Lite'!F53/(E32*E27),0)</f>
        <v/>
      </c>
      <c r="E56" s="180">
        <f>ROUNDUP(D56/E20,0)</f>
        <v/>
      </c>
      <c r="F56" s="180">
        <f>ROUNDUP('Capacity Lite'!E40/E21,0)</f>
        <v/>
      </c>
      <c r="G56" s="180">
        <f>ROUNDUP(D56/E22,0)</f>
        <v/>
      </c>
    </row>
    <row r="57" ht="15" customHeight="1">
      <c r="B57" s="178" t="inlineStr">
        <is>
          <t>Mo 2</t>
        </is>
      </c>
      <c r="C57" s="180">
        <f>'Capacity Lite'!F54</f>
        <v/>
      </c>
      <c r="D57" s="165">
        <f>ROUNDUP('Capacity Lite'!F54/(E32*E27),0)</f>
        <v/>
      </c>
      <c r="E57" s="180">
        <f>ROUNDUP(D57/E20,0)</f>
        <v/>
      </c>
      <c r="F57" s="180">
        <f>ROUNDUP('Capacity Lite'!E40/E21,0)</f>
        <v/>
      </c>
      <c r="G57" s="180">
        <f>ROUNDUP(D57/E22,0)</f>
        <v/>
      </c>
    </row>
    <row r="58" ht="15" customHeight="1">
      <c r="B58" s="178" t="inlineStr">
        <is>
          <t>Mo 3</t>
        </is>
      </c>
      <c r="C58" s="180">
        <f>'Capacity Lite'!F55</f>
        <v/>
      </c>
      <c r="D58" s="165">
        <f>ROUNDUP('Capacity Lite'!F55/(E32*E27),0)</f>
        <v/>
      </c>
      <c r="E58" s="180">
        <f>ROUNDUP(D58/E20,0)</f>
        <v/>
      </c>
      <c r="F58" s="180">
        <f>ROUNDUP('Capacity Lite'!E40/E21,0)</f>
        <v/>
      </c>
      <c r="G58" s="180">
        <f>ROUNDUP(D58/E22,0)</f>
        <v/>
      </c>
    </row>
    <row r="59" ht="15" customHeight="1">
      <c r="B59" s="178" t="inlineStr">
        <is>
          <t>Mo 4</t>
        </is>
      </c>
      <c r="C59" s="180">
        <f>'Capacity Lite'!F56</f>
        <v/>
      </c>
      <c r="D59" s="165">
        <f>ROUNDUP('Capacity Lite'!F56/(E32*E27),0)</f>
        <v/>
      </c>
      <c r="E59" s="180">
        <f>ROUNDUP(D59/E20,0)</f>
        <v/>
      </c>
      <c r="F59" s="180">
        <f>ROUNDUP('Capacity Lite'!E40/E21,0)</f>
        <v/>
      </c>
      <c r="G59" s="180">
        <f>ROUNDUP(D59/E22,0)</f>
        <v/>
      </c>
    </row>
    <row r="60" ht="15" customHeight="1">
      <c r="B60" s="178" t="inlineStr">
        <is>
          <t>Mo 5</t>
        </is>
      </c>
      <c r="C60" s="180">
        <f>'Capacity Lite'!F57</f>
        <v/>
      </c>
      <c r="D60" s="165">
        <f>ROUNDUP('Capacity Lite'!F57/(E32*E27),0)</f>
        <v/>
      </c>
      <c r="E60" s="180">
        <f>ROUNDUP(D60/E20,0)</f>
        <v/>
      </c>
      <c r="F60" s="180">
        <f>ROUNDUP('Capacity Lite'!E40/E21,0)</f>
        <v/>
      </c>
      <c r="G60" s="180">
        <f>ROUNDUP(D60/E22,0)</f>
        <v/>
      </c>
    </row>
    <row r="61" ht="15" customHeight="1">
      <c r="B61" s="178" t="inlineStr">
        <is>
          <t>Mo 6</t>
        </is>
      </c>
      <c r="C61" s="180">
        <f>'Capacity Lite'!F58</f>
        <v/>
      </c>
      <c r="D61" s="165">
        <f>ROUNDUP('Capacity Lite'!F58/(E32*E27),0)</f>
        <v/>
      </c>
      <c r="E61" s="180">
        <f>ROUNDUP(D61/E20,0)</f>
        <v/>
      </c>
      <c r="F61" s="180">
        <f>ROUNDUP('Capacity Lite'!E40/E21,0)</f>
        <v/>
      </c>
      <c r="G61" s="180">
        <f>ROUNDUP(D61/E22,0)</f>
        <v/>
      </c>
    </row>
    <row r="62" ht="15" customHeight="1">
      <c r="B62" s="178" t="inlineStr">
        <is>
          <t>Mo 7</t>
        </is>
      </c>
      <c r="C62" s="180">
        <f>'Capacity Lite'!F59</f>
        <v/>
      </c>
      <c r="D62" s="165">
        <f>ROUNDUP('Capacity Lite'!F59/(E32*E27),0)</f>
        <v/>
      </c>
      <c r="E62" s="180">
        <f>ROUNDUP(D62/E20,0)</f>
        <v/>
      </c>
      <c r="F62" s="180">
        <f>ROUNDUP('Capacity Lite'!E40/E21,0)</f>
        <v/>
      </c>
      <c r="G62" s="180">
        <f>ROUNDUP(D62/E22,0)</f>
        <v/>
      </c>
    </row>
    <row r="63" ht="15" customHeight="1">
      <c r="B63" s="178" t="inlineStr">
        <is>
          <t>Mo 8</t>
        </is>
      </c>
      <c r="C63" s="180">
        <f>'Capacity Lite'!F60</f>
        <v/>
      </c>
      <c r="D63" s="165">
        <f>ROUNDUP('Capacity Lite'!F60/(E32*E27),0)</f>
        <v/>
      </c>
      <c r="E63" s="180">
        <f>ROUNDUP(D63/E20,0)</f>
        <v/>
      </c>
      <c r="F63" s="180">
        <f>ROUNDUP('Capacity Lite'!E40/E21,0)</f>
        <v/>
      </c>
      <c r="G63" s="180">
        <f>ROUNDUP(D63/E22,0)</f>
        <v/>
      </c>
    </row>
    <row r="64" ht="15" customHeight="1">
      <c r="B64" s="178" t="inlineStr">
        <is>
          <t>Mo 9</t>
        </is>
      </c>
      <c r="C64" s="180">
        <f>'Capacity Lite'!F61</f>
        <v/>
      </c>
      <c r="D64" s="165">
        <f>ROUNDUP('Capacity Lite'!F61/(E32*E27),0)</f>
        <v/>
      </c>
      <c r="E64" s="180">
        <f>ROUNDUP(D64/E20,0)</f>
        <v/>
      </c>
      <c r="F64" s="180">
        <f>ROUNDUP('Capacity Lite'!E40/E21,0)</f>
        <v/>
      </c>
      <c r="G64" s="180">
        <f>ROUNDUP(D64/E22,0)</f>
        <v/>
      </c>
    </row>
    <row r="65" ht="15" customHeight="1">
      <c r="B65" s="178" t="inlineStr">
        <is>
          <t>Mo 10</t>
        </is>
      </c>
      <c r="C65" s="180">
        <f>'Capacity Lite'!F62</f>
        <v/>
      </c>
      <c r="D65" s="165">
        <f>ROUNDUP('Capacity Lite'!F62/(E32*E27),0)</f>
        <v/>
      </c>
      <c r="E65" s="180">
        <f>ROUNDUP(D65/E20,0)</f>
        <v/>
      </c>
      <c r="F65" s="180">
        <f>ROUNDUP('Capacity Lite'!E40/E21,0)</f>
        <v/>
      </c>
      <c r="G65" s="180">
        <f>ROUNDUP(D65/E22,0)</f>
        <v/>
      </c>
    </row>
    <row r="66" ht="15" customHeight="1">
      <c r="B66" s="178" t="inlineStr">
        <is>
          <t>Mo 11</t>
        </is>
      </c>
      <c r="C66" s="180">
        <f>'Capacity Lite'!F63</f>
        <v/>
      </c>
      <c r="D66" s="165">
        <f>ROUNDUP('Capacity Lite'!F63/(E32*E27),0)</f>
        <v/>
      </c>
      <c r="E66" s="180">
        <f>ROUNDUP(D66/E20,0)</f>
        <v/>
      </c>
      <c r="F66" s="180">
        <f>ROUNDUP('Capacity Lite'!E40/E21,0)</f>
        <v/>
      </c>
      <c r="G66" s="180">
        <f>ROUNDUP(D66/E22,0)</f>
        <v/>
      </c>
    </row>
    <row r="67" ht="15" customHeight="1">
      <c r="B67" s="178" t="inlineStr">
        <is>
          <t>Mo 12</t>
        </is>
      </c>
      <c r="C67" s="180">
        <f>'Capacity Lite'!F64</f>
        <v/>
      </c>
      <c r="D67" s="165">
        <f>ROUNDUP('Capacity Lite'!F64/(E32*E27),0)</f>
        <v/>
      </c>
      <c r="E67" s="180">
        <f>ROUNDUP(D67/E20,0)</f>
        <v/>
      </c>
      <c r="F67" s="180">
        <f>ROUNDUP('Capacity Lite'!E40/E21,0)</f>
        <v/>
      </c>
      <c r="G67" s="180">
        <f>ROUNDUP(D67/E22,0)</f>
        <v/>
      </c>
    </row>
    <row r="69" ht="18" customHeight="1">
      <c r="B69" s="169" t="inlineStr">
        <is>
          <t xml:space="preserve">  NOTES</t>
        </is>
      </c>
    </row>
    <row r="70" ht="30" customHeight="1">
      <c r="B70" s="29" t="inlineStr">
        <is>
          <t>•  Four triggers, four drivers: Case Managers scale with caseload; Admins scale with case-manager count (and raise CM capacity 90→130); Account Executives scale with monthly intake; Case Directors scale with management span.</t>
        </is>
      </c>
    </row>
    <row r="71" ht="30" customHeight="1">
      <c r="B71" s="29" t="inlineStr">
        <is>
          <t>•  Admins are a capacity multiplier, not just overhead — before hiring the next case manager, check whether an admin (cheaper) buys enough headroom. That is the humans-vs-admins lever.</t>
        </is>
      </c>
    </row>
    <row r="72" ht="30" customHeight="1">
      <c r="B72" s="29" t="inlineStr">
        <is>
          <t>•  The 12-month plan reads today's open-case projection off Capacity Lite; where a case-manager count steps up (highlighted) is when to have the hire ramped and ready — start recruiting 1–2 months earlier given onboarding lead time.</t>
        </is>
      </c>
    </row>
    <row r="73" ht="30" customHeight="1">
      <c r="B73" s="29" t="inlineStr">
        <is>
          <t>•  Ratios (cases/mgr, CMs per admin, AE throughput, span) are starting placeholders — set them to David's real numbers. Org counts are from the July 2026 chart; both draft versions have the same headcount (they differ only in the AE's reporting line).</t>
        </is>
      </c>
    </row>
    <row r="74" ht="30" customHeight="1">
      <c r="B74" s="29" t="inlineStr">
        <is>
          <t>•  Josh, Denise and Vanessa are contractors today — the model counts them as 1 each; convert to FTE triggers separately if/when advisory load justifies it.</t>
        </is>
      </c>
    </row>
  </sheetData>
  <mergeCells count="61">
    <mergeCell ref="F11:G11"/>
    <mergeCell ref="F31:I31"/>
    <mergeCell ref="F27:I27"/>
    <mergeCell ref="D10:E10"/>
    <mergeCell ref="B7:C7"/>
    <mergeCell ref="F10:G10"/>
    <mergeCell ref="B47:I47"/>
    <mergeCell ref="B72:I72"/>
    <mergeCell ref="B3:I3"/>
    <mergeCell ref="F6:G6"/>
    <mergeCell ref="B71:I71"/>
    <mergeCell ref="F7:G7"/>
    <mergeCell ref="B12:C12"/>
    <mergeCell ref="B43:I43"/>
    <mergeCell ref="D6:E6"/>
    <mergeCell ref="B70:I70"/>
    <mergeCell ref="F12:G12"/>
    <mergeCell ref="B11:C11"/>
    <mergeCell ref="D11:E11"/>
    <mergeCell ref="B2:I2"/>
    <mergeCell ref="D13:E13"/>
    <mergeCell ref="B42:I42"/>
    <mergeCell ref="B14:C14"/>
    <mergeCell ref="B41:I41"/>
    <mergeCell ref="F19:I19"/>
    <mergeCell ref="F25:I25"/>
    <mergeCell ref="B8:C8"/>
    <mergeCell ref="F8:G8"/>
    <mergeCell ref="B13:C13"/>
    <mergeCell ref="B17:I17"/>
    <mergeCell ref="B73:I73"/>
    <mergeCell ref="B44:I44"/>
    <mergeCell ref="B53:I53"/>
    <mergeCell ref="D7:E7"/>
    <mergeCell ref="B29:I29"/>
    <mergeCell ref="B69:I69"/>
    <mergeCell ref="B34:I34"/>
    <mergeCell ref="B10:C10"/>
    <mergeCell ref="F24:I24"/>
    <mergeCell ref="F30:I30"/>
    <mergeCell ref="F21:I21"/>
    <mergeCell ref="F13:G13"/>
    <mergeCell ref="B9:C9"/>
    <mergeCell ref="F20:I20"/>
    <mergeCell ref="D9:E9"/>
    <mergeCell ref="F9:G9"/>
    <mergeCell ref="D12:E12"/>
    <mergeCell ref="D8:E8"/>
    <mergeCell ref="F18:I18"/>
    <mergeCell ref="B6:C6"/>
    <mergeCell ref="F32:I32"/>
    <mergeCell ref="F26:I26"/>
    <mergeCell ref="B74:I74"/>
    <mergeCell ref="B15:I15"/>
    <mergeCell ref="B51:I51"/>
    <mergeCell ref="D14:E14"/>
    <mergeCell ref="B5:I5"/>
    <mergeCell ref="F14:G14"/>
    <mergeCell ref="B45:I45"/>
    <mergeCell ref="F23:I23"/>
    <mergeCell ref="F22:I22"/>
  </mergeCells>
  <conditionalFormatting sqref="H36">
    <cfRule type="expression" priority="1" dxfId="14">
      <formula>ISNUMBER(SEARCH("NOW",H36))</formula>
    </cfRule>
    <cfRule type="expression" priority="2" dxfId="15">
      <formula>ISNUMBER(SEARCH("SOON",H36))</formula>
    </cfRule>
    <cfRule type="expression" priority="3" dxfId="10">
      <formula>EXACT(H36,"OK")</formula>
    </cfRule>
  </conditionalFormatting>
  <conditionalFormatting sqref="G36">
    <cfRule type="expression" priority="4" dxfId="7">
      <formula>G36&gt;0</formula>
    </cfRule>
  </conditionalFormatting>
  <conditionalFormatting sqref="H37">
    <cfRule type="expression" priority="5" dxfId="14">
      <formula>ISNUMBER(SEARCH("NOW",H37))</formula>
    </cfRule>
    <cfRule type="expression" priority="6" dxfId="15">
      <formula>ISNUMBER(SEARCH("SOON",H37))</formula>
    </cfRule>
    <cfRule type="expression" priority="7" dxfId="10">
      <formula>EXACT(H37,"OK")</formula>
    </cfRule>
  </conditionalFormatting>
  <conditionalFormatting sqref="G37">
    <cfRule type="expression" priority="8" dxfId="7">
      <formula>G37&gt;0</formula>
    </cfRule>
  </conditionalFormatting>
  <conditionalFormatting sqref="H38">
    <cfRule type="expression" priority="9" dxfId="14">
      <formula>ISNUMBER(SEARCH("NOW",H38))</formula>
    </cfRule>
    <cfRule type="expression" priority="10" dxfId="15">
      <formula>ISNUMBER(SEARCH("SOON",H38))</formula>
    </cfRule>
    <cfRule type="expression" priority="11" dxfId="10">
      <formula>EXACT(H38,"OK")</formula>
    </cfRule>
  </conditionalFormatting>
  <conditionalFormatting sqref="G38">
    <cfRule type="expression" priority="12" dxfId="7">
      <formula>G38&gt;0</formula>
    </cfRule>
  </conditionalFormatting>
  <conditionalFormatting sqref="H39">
    <cfRule type="expression" priority="13" dxfId="14">
      <formula>ISNUMBER(SEARCH("NOW",H39))</formula>
    </cfRule>
    <cfRule type="expression" priority="14" dxfId="15">
      <formula>ISNUMBER(SEARCH("SOON",H39))</formula>
    </cfRule>
    <cfRule type="expression" priority="15" dxfId="10">
      <formula>EXACT(H39,"OK")</formula>
    </cfRule>
  </conditionalFormatting>
  <conditionalFormatting sqref="G39">
    <cfRule type="expression" priority="16" dxfId="7">
      <formula>G39&gt;0</formula>
    </cfRule>
  </conditionalFormatting>
  <conditionalFormatting sqref="D56:D67">
    <cfRule type="expression" priority="17" dxfId="16">
      <formula>D56&gt;D55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7D5B"/>
    <outlinePr summaryBelow="1" summaryRight="1"/>
    <pageSetUpPr/>
  </sheetPr>
  <dimension ref="B2:H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3" customWidth="1" min="3" max="3"/>
    <col width="3" customWidth="1" min="4" max="4"/>
    <col width="16" customWidth="1" min="5" max="5"/>
    <col width="3" customWidth="1" min="6" max="6"/>
    <col width="16" customWidth="1" min="7" max="7"/>
    <col width="40" customWidth="1" min="8" max="8"/>
  </cols>
  <sheetData>
    <row r="2" ht="34" customHeight="1">
      <c r="B2" s="80" t="inlineStr">
        <is>
          <t>PROFITABILITY  ·  New Compensation Model</t>
        </is>
      </c>
    </row>
    <row r="3" ht="16" customHeight="1">
      <c r="B3" s="81" t="inlineStr">
        <is>
          <t>Annual run-rate. Compares the OLD comp model vs the NEW (growth-incentive) model at the intake each one actually drives. Edit yellow (data) and blue (comp terms) cells.</t>
        </is>
      </c>
    </row>
    <row r="5" ht="18" customHeight="1">
      <c r="B5" s="119" t="inlineStr">
        <is>
          <t xml:space="preserve">  INPUTS</t>
        </is>
      </c>
    </row>
    <row r="6" ht="20" customHeight="1">
      <c r="B6" s="129" t="inlineStr">
        <is>
          <t xml:space="preserve">  Average case value ($)</t>
        </is>
      </c>
      <c r="E6" s="87">
        <f>'Capacity Lite'!E11</f>
        <v/>
      </c>
      <c r="G6" s="135" t="inlineStr">
        <is>
          <t>linked from Capacity Lite</t>
        </is>
      </c>
    </row>
    <row r="7" ht="20" customHeight="1">
      <c r="B7" s="129" t="inlineStr">
        <is>
          <t xml:space="preserve">  Average case lifespan (months)</t>
        </is>
      </c>
      <c r="E7" s="86">
        <f>'Capacity Lite'!E13</f>
        <v/>
      </c>
      <c r="G7" s="135" t="inlineStr">
        <is>
          <t>linked from Capacity Lite</t>
        </is>
      </c>
    </row>
    <row r="8" ht="20" customHeight="1">
      <c r="B8" s="129" t="inlineStr">
        <is>
          <t xml:space="preserve">  Effective cases per manager (David's binding)</t>
        </is>
      </c>
      <c r="E8" s="86">
        <f>'Capacity Lite'!E23</f>
        <v/>
      </c>
      <c r="G8" s="135" t="inlineStr">
        <is>
          <t>binding cases/mgr from Capacity Lite (David's ~90)</t>
        </is>
      </c>
    </row>
    <row r="9" ht="20" customHeight="1">
      <c r="B9" s="129" t="inlineStr">
        <is>
          <t xml:space="preserve">  Collection rate (% of signed value)</t>
        </is>
      </c>
      <c r="E9" s="44" t="n">
        <v>0.85</v>
      </c>
      <c r="G9" s="135" t="inlineStr">
        <is>
          <t>share of signed fees actually collected</t>
        </is>
      </c>
    </row>
    <row r="10" ht="20" customHeight="1">
      <c r="B10" s="129" t="inlineStr">
        <is>
          <t xml:space="preserve">  Intake UNDER OLD comp (cases/week)</t>
        </is>
      </c>
      <c r="E10" s="45" t="n">
        <v>12</v>
      </c>
      <c r="G10" s="135" t="inlineStr">
        <is>
          <t>what James/reps produce on salary</t>
        </is>
      </c>
    </row>
    <row r="11" ht="20" customHeight="1">
      <c r="B11" s="129" t="inlineStr">
        <is>
          <t xml:space="preserve">  Intake UNDER NEW comp (cases/week)</t>
        </is>
      </c>
      <c r="E11" s="45" t="n">
        <v>25</v>
      </c>
      <c r="G11" s="135" t="inlineStr">
        <is>
          <t>the incentivized target: 3 reps + James</t>
        </is>
      </c>
    </row>
    <row r="12" ht="20" customHeight="1">
      <c r="B12" s="129" t="inlineStr">
        <is>
          <t xml:space="preserve">  James base — OLD ($/yr)</t>
        </is>
      </c>
      <c r="E12" s="46" t="n">
        <v>90000</v>
      </c>
      <c r="G12" s="135" t="inlineStr">
        <is>
          <t>salary-heavy</t>
        </is>
      </c>
    </row>
    <row r="13" ht="20" customHeight="1">
      <c r="B13" s="129" t="inlineStr">
        <is>
          <t xml:space="preserve">  James base — NEW ($/yr)</t>
        </is>
      </c>
      <c r="E13" s="47" t="n">
        <v>60000</v>
      </c>
      <c r="G13" s="135" t="inlineStr">
        <is>
          <t>reduced base, upside from commission</t>
        </is>
      </c>
    </row>
    <row r="14" ht="20" customHeight="1">
      <c r="B14" s="129" t="inlineStr">
        <is>
          <t xml:space="preserve">  James commission — NEW (% of signed value)</t>
        </is>
      </c>
      <c r="E14" s="48" t="n">
        <v>0.01</v>
      </c>
      <c r="G14" s="135" t="inlineStr">
        <is>
          <t>growth commission</t>
        </is>
      </c>
    </row>
    <row r="15" ht="20" customHeight="1">
      <c r="B15" s="129" t="inlineStr">
        <is>
          <t xml:space="preserve">  Number of sales reps</t>
        </is>
      </c>
      <c r="E15" s="49" t="n">
        <v>3</v>
      </c>
      <c r="G15" s="135" t="inlineStr"/>
    </row>
    <row r="16" ht="20" customHeight="1">
      <c r="B16" s="129" t="inlineStr">
        <is>
          <t xml:space="preserve">  Rep base — OLD ($/yr each)</t>
        </is>
      </c>
      <c r="E16" s="46" t="n">
        <v>60000</v>
      </c>
      <c r="G16" s="135" t="inlineStr"/>
    </row>
    <row r="17" ht="20" customHeight="1">
      <c r="B17" s="129" t="inlineStr">
        <is>
          <t xml:space="preserve">  Rep base — NEW ($/yr each)</t>
        </is>
      </c>
      <c r="E17" s="47" t="n">
        <v>45000</v>
      </c>
      <c r="G17" s="135" t="inlineStr"/>
    </row>
    <row r="18" ht="20" customHeight="1">
      <c r="B18" s="129" t="inlineStr">
        <is>
          <t xml:space="preserve">  Reps commission — NEW (% pooled)</t>
        </is>
      </c>
      <c r="E18" s="48" t="n">
        <v>0.02</v>
      </c>
      <c r="G18" s="135" t="inlineStr">
        <is>
          <t>across all reps, of signed value</t>
        </is>
      </c>
    </row>
    <row r="19" ht="20" customHeight="1">
      <c r="B19" s="129" t="inlineStr">
        <is>
          <t xml:space="preserve">  Case manager loaded comp ($/yr)</t>
        </is>
      </c>
      <c r="E19" s="84" t="n">
        <v>75000</v>
      </c>
      <c r="G19" s="135" t="inlineStr">
        <is>
          <t>delivery cost per manager FTE</t>
        </is>
      </c>
    </row>
    <row r="20" ht="20" customHeight="1">
      <c r="B20" s="129" t="inlineStr">
        <is>
          <t xml:space="preserve">  MG&amp;A overhead — fixed ($/yr)</t>
        </is>
      </c>
      <c r="E20" s="84" t="n">
        <v>300000</v>
      </c>
      <c r="G20" s="135" t="inlineStr">
        <is>
          <t>rent, software, admin</t>
        </is>
      </c>
    </row>
    <row r="21" ht="20" customHeight="1">
      <c r="B21" s="129" t="inlineStr">
        <is>
          <t xml:space="preserve">  MG&amp;A overhead — variable (% of collected rev)</t>
        </is>
      </c>
      <c r="E21" s="44" t="n">
        <v>0.3</v>
      </c>
      <c r="G21" s="135" t="inlineStr">
        <is>
          <t>marketing / lead-gen scales with revenue</t>
        </is>
      </c>
    </row>
    <row r="23" ht="18" customHeight="1">
      <c r="B23" s="128" t="inlineStr">
        <is>
          <t xml:space="preserve">  ANNUAL RUN-RATE P&amp;L</t>
        </is>
      </c>
    </row>
    <row r="24" ht="18" customHeight="1">
      <c r="B24" s="52" t="inlineStr">
        <is>
          <t>Line</t>
        </is>
      </c>
      <c r="E24" s="130" t="inlineStr">
        <is>
          <t>OLD comp</t>
        </is>
      </c>
      <c r="G24" s="131" t="inlineStr">
        <is>
          <t>NEW comp</t>
        </is>
      </c>
      <c r="H24" s="52" t="inlineStr">
        <is>
          <t>Notes</t>
        </is>
      </c>
    </row>
    <row r="25" ht="19" customHeight="1">
      <c r="B25" s="129" t="inlineStr">
        <is>
          <t xml:space="preserve">  Intake (cases/week)</t>
        </is>
      </c>
      <c r="E25" s="157">
        <f>E10</f>
        <v/>
      </c>
      <c r="G25" s="157">
        <f>E11</f>
        <v/>
      </c>
      <c r="H25" s="135" t="inlineStr">
        <is>
          <t>behavioral: new comp lifts volume</t>
        </is>
      </c>
    </row>
    <row r="26" ht="19" customHeight="1">
      <c r="B26" s="129" t="inlineStr">
        <is>
          <t xml:space="preserve">  Annual signed case value</t>
        </is>
      </c>
      <c r="E26" s="153">
        <f>(E10*52*E6)</f>
        <v/>
      </c>
      <c r="G26" s="153">
        <f>(E11*52*E6)</f>
        <v/>
      </c>
      <c r="H26" s="135" t="inlineStr">
        <is>
          <t>cases/wk × 52 × case value</t>
        </is>
      </c>
    </row>
    <row r="27" ht="19" customHeight="1">
      <c r="B27" s="129" t="inlineStr">
        <is>
          <t xml:space="preserve">  Collected revenue</t>
        </is>
      </c>
      <c r="E27" s="153">
        <f>(E10*52*E6)*E9</f>
        <v/>
      </c>
      <c r="G27" s="153">
        <f>(E11*52*E6)*E9</f>
        <v/>
      </c>
      <c r="H27" s="135" t="inlineStr">
        <is>
          <t>signed × collection rate</t>
        </is>
      </c>
    </row>
    <row r="28" ht="19" customHeight="1">
      <c r="B28" s="129" t="inlineStr">
        <is>
          <t xml:space="preserve">  Case managers required (FTE)</t>
        </is>
      </c>
      <c r="E28" s="157">
        <f>(E10*52*(E7/12))/E8</f>
        <v/>
      </c>
      <c r="G28" s="157">
        <f>(E11*52*(E7/12))/E8</f>
        <v/>
      </c>
      <c r="H28" s="135" t="inlineStr">
        <is>
          <t>active cases ÷ max per mgr</t>
        </is>
      </c>
    </row>
    <row r="29" ht="19" customHeight="1">
      <c r="B29" s="129" t="inlineStr">
        <is>
          <t xml:space="preserve">  Case manager cost</t>
        </is>
      </c>
      <c r="E29" s="153">
        <f>-((E10*52*(E7/12))/E8*E19)</f>
        <v/>
      </c>
      <c r="G29" s="153">
        <f>-((E11*52*(E7/12))/E8*E19)</f>
        <v/>
      </c>
      <c r="H29" s="135" t="inlineStr">
        <is>
          <t>required FTE × loaded comp</t>
        </is>
      </c>
    </row>
    <row r="30" ht="19" customHeight="1">
      <c r="B30" s="129" t="inlineStr">
        <is>
          <t xml:space="preserve">  James pay</t>
        </is>
      </c>
      <c r="E30" s="153">
        <f>-E12</f>
        <v/>
      </c>
      <c r="G30" s="153">
        <f>-(E13+E14*(E11*52*E6))</f>
        <v/>
      </c>
      <c r="H30" s="135" t="inlineStr">
        <is>
          <t>OLD base  |  NEW base + commission</t>
        </is>
      </c>
    </row>
    <row r="31" ht="19" customHeight="1">
      <c r="B31" s="129" t="inlineStr">
        <is>
          <t xml:space="preserve">  Sales reps pay</t>
        </is>
      </c>
      <c r="E31" s="153">
        <f>-(E15*E16)</f>
        <v/>
      </c>
      <c r="G31" s="153">
        <f>-(E15*E17+E18*(E11*52*E6))</f>
        <v/>
      </c>
      <c r="H31" s="135" t="inlineStr">
        <is>
          <t>OLD base  |  NEW base + pooled commission</t>
        </is>
      </c>
    </row>
    <row r="32" ht="19" customHeight="1">
      <c r="B32" s="129" t="inlineStr">
        <is>
          <t xml:space="preserve">  MG&amp;A overhead</t>
        </is>
      </c>
      <c r="E32" s="153">
        <f>-(E20+E21*((E10*52*E6)*E9))</f>
        <v/>
      </c>
      <c r="G32" s="153">
        <f>-(E20+E21*((E11*52*E6)*E9))</f>
        <v/>
      </c>
      <c r="H32" s="135" t="inlineStr">
        <is>
          <t>fixed + variable % of collected rev</t>
        </is>
      </c>
    </row>
    <row r="33" ht="19" customHeight="1">
      <c r="B33" s="120" t="inlineStr">
        <is>
          <t xml:space="preserve">  NET PROFIT</t>
        </is>
      </c>
      <c r="E33" s="143">
        <f>(((E10*52*E6)*E9)-((E10*52*(E7/12))/E8*E19)-E12-(E15*E16)-(E20+E21*((E10*52*E6)*E9)))</f>
        <v/>
      </c>
      <c r="G33" s="143">
        <f>(((E11*52*E6)*E9)-((E11*52*(E7/12))/E8*E19)-(E13+E14*(E11*52*E6))-(E15*E17+E18*(E11*52*E6))-(E20+E21*((E11*52*E6)*E9)))</f>
        <v/>
      </c>
      <c r="H33" s="135" t="inlineStr">
        <is>
          <t>collected rev − all costs</t>
        </is>
      </c>
    </row>
    <row r="34" ht="19" customHeight="1">
      <c r="B34" s="120" t="inlineStr">
        <is>
          <t xml:space="preserve">  Net margin</t>
        </is>
      </c>
      <c r="E34" s="59">
        <f>(((E10*52*E6)*E9)-((E10*52*(E7/12))/E8*E19)-E12-(E15*E16)-(E20+E21*((E10*52*E6)*E9)))/((E10*52*E6)*E9)</f>
        <v/>
      </c>
      <c r="G34" s="59">
        <f>(((E11*52*E6)*E9)-((E11*52*(E7/12))/E8*E19)-(E13+E14*(E11*52*E6))-(E15*E17+E18*(E11*52*E6))-(E20+E21*((E11*52*E6)*E9)))/((E11*52*E6)*E9)</f>
        <v/>
      </c>
      <c r="H34" s="135" t="inlineStr"/>
    </row>
    <row r="36" ht="18" customHeight="1">
      <c r="B36" s="144" t="inlineStr">
        <is>
          <t xml:space="preserve">  PROFITABILITY IMPACT OF THE NEW COMP MODEL</t>
        </is>
      </c>
    </row>
    <row r="37" ht="22" customHeight="1">
      <c r="B37" s="61" t="inlineStr">
        <is>
          <t xml:space="preserve">  Δ Collected revenue (new − old)</t>
        </is>
      </c>
      <c r="E37" s="153">
        <f>((E11*52*E6)*E9)-((E10*52*E6)*E9)</f>
        <v/>
      </c>
      <c r="G37" s="149" t="inlineStr">
        <is>
          <t>the growth the incentive unlocks</t>
        </is>
      </c>
    </row>
    <row r="38" ht="22" customHeight="1">
      <c r="B38" s="61" t="inlineStr">
        <is>
          <t xml:space="preserve">  Δ Selling comp cost (new − old)</t>
        </is>
      </c>
      <c r="E38" s="153">
        <f>-(((E13+E14*(E11*52*E6))+(E15*E17+E18*(E11*52*E6)))-(E12+(E15*E16)))</f>
        <v/>
      </c>
      <c r="G38" s="149" t="inlineStr">
        <is>
          <t>extra commission the firm pays out</t>
        </is>
      </c>
    </row>
    <row r="39" ht="22" customHeight="1">
      <c r="B39" s="63" t="inlineStr">
        <is>
          <t xml:space="preserve">  Δ NET PROFIT (new − old)</t>
        </is>
      </c>
      <c r="E39" s="102">
        <f>(((E11*52*E6)*E9)-((E11*52*(E7/12))/E8*E19)-(E13+E14*(E11*52*E6))-(E15*E17+E18*(E11*52*E6))-(E20+E21*((E11*52*E6)*E9)))-(((E10*52*E6)*E9)-((E10*52*(E7/12))/E8*E19)-E12-(E15*E16)-(E20+E21*((E10*52*E6)*E9)))</f>
        <v/>
      </c>
      <c r="G39" s="149" t="inlineStr">
        <is>
          <t>bottom-line effect of switching</t>
        </is>
      </c>
    </row>
    <row r="41">
      <c r="B41" s="65">
        <f>IF(E39&gt;=0,"NEW COMP MODEL IS ACCRETIVE — pays for itself through growth","NEW COMP COSTS MORE — justify via the added revenue &amp; retention")</f>
        <v/>
      </c>
      <c r="C41" s="30" t="n"/>
      <c r="D41" s="30" t="n"/>
      <c r="E41" s="30" t="n"/>
      <c r="F41" s="30" t="n"/>
      <c r="G41" s="30" t="n"/>
      <c r="H41" s="31" t="n"/>
    </row>
    <row r="42">
      <c r="B42" s="34" t="n"/>
      <c r="C42" s="35" t="n"/>
      <c r="D42" s="35" t="n"/>
      <c r="E42" s="35" t="n"/>
      <c r="F42" s="35" t="n"/>
      <c r="G42" s="35" t="n"/>
      <c r="H42" s="36" t="n"/>
    </row>
    <row r="44" ht="18" customHeight="1">
      <c r="B44" s="128" t="inlineStr">
        <is>
          <t xml:space="preserve">  NOTES &amp; ASSUMPTIONS</t>
        </is>
      </c>
    </row>
    <row r="45" ht="28" customHeight="1">
      <c r="B45" s="29" t="inlineStr">
        <is>
          <t>•  Commission basis = NEW SIGNED case value (rewards growth). James responds to visuals — see the 'James — New Comp' tab.</t>
        </is>
      </c>
    </row>
    <row r="46" ht="28" customHeight="1">
      <c r="B46" s="29" t="inlineStr">
        <is>
          <t>•  The comparison is intentionally apples-to-oranges on VOLUME: the whole point of the new model is that it lifts intake (old ≈12/wk → new ≈25/wk). Set both intake cells to the same number to isolate the pure cost swap instead.</t>
        </is>
      </c>
    </row>
    <row r="47" ht="28" customHeight="1">
      <c r="B47" s="29" t="inlineStr">
        <is>
          <t>•  Run-rate view: at steady state, annual signed value ≈ annual recognized revenue. During rapid ramp, commission (paid on signings) leads revenue — watch cash timing separately.</t>
        </is>
      </c>
    </row>
    <row r="48" ht="28" customHeight="1">
      <c r="B48" s="29" t="inlineStr">
        <is>
          <t>•  MG&amp;A variable % should include marketing / lead-gen (often the largest cost in tax resolution). Placeholder 30% — replace with actuals.</t>
        </is>
      </c>
    </row>
    <row r="49" ht="28" customHeight="1">
      <c r="B49" s="29" t="inlineStr">
        <is>
          <t>•  Collection rate accounts for refunds / non-payment. Placeholder 85%.</t>
        </is>
      </c>
    </row>
    <row r="50" ht="28" customHeight="1">
      <c r="B50" s="29" t="inlineStr">
        <is>
          <t>•  All comp terms are placeholders pending David's real numbers — every one is an editable input.</t>
        </is>
      </c>
    </row>
  </sheetData>
  <mergeCells count="43">
    <mergeCell ref="G21:H21"/>
    <mergeCell ref="H27"/>
    <mergeCell ref="G12:H12"/>
    <mergeCell ref="C24:D24"/>
    <mergeCell ref="B49:H49"/>
    <mergeCell ref="G11:H11"/>
    <mergeCell ref="H33"/>
    <mergeCell ref="G8:H8"/>
    <mergeCell ref="B5:H5"/>
    <mergeCell ref="G17:H17"/>
    <mergeCell ref="G39:H39"/>
    <mergeCell ref="B45:H45"/>
    <mergeCell ref="B36:H36"/>
    <mergeCell ref="H30"/>
    <mergeCell ref="B50:H50"/>
    <mergeCell ref="G7:H7"/>
    <mergeCell ref="G38:H38"/>
    <mergeCell ref="G10:H10"/>
    <mergeCell ref="H26"/>
    <mergeCell ref="G19:H19"/>
    <mergeCell ref="H29"/>
    <mergeCell ref="G37:H37"/>
    <mergeCell ref="B47:H47"/>
    <mergeCell ref="G6:H6"/>
    <mergeCell ref="G13:H13"/>
    <mergeCell ref="G18:H18"/>
    <mergeCell ref="B3:H3"/>
    <mergeCell ref="B46:H46"/>
    <mergeCell ref="H31"/>
    <mergeCell ref="H25"/>
    <mergeCell ref="H34"/>
    <mergeCell ref="G15:H15"/>
    <mergeCell ref="B2:H2"/>
    <mergeCell ref="G14:H14"/>
    <mergeCell ref="B48:H48"/>
    <mergeCell ref="B23:H23"/>
    <mergeCell ref="G20:H20"/>
    <mergeCell ref="G16:H16"/>
    <mergeCell ref="B44:H44"/>
    <mergeCell ref="H32"/>
    <mergeCell ref="G9:H9"/>
    <mergeCell ref="B41:H42"/>
    <mergeCell ref="H28"/>
  </mergeCells>
  <conditionalFormatting sqref="B41">
    <cfRule type="expression" priority="1" dxfId="3">
      <formula>E39&gt;=0</formula>
    </cfRule>
    <cfRule type="expression" priority="2" dxfId="4">
      <formula>E39&lt;0</formula>
    </cfRule>
  </conditionalFormatting>
  <conditionalFormatting sqref="E25:E34">
    <cfRule type="expression" priority="3" dxfId="5">
      <formula>E25&lt;0</formula>
    </cfRule>
  </conditionalFormatting>
  <conditionalFormatting sqref="G25:G34">
    <cfRule type="expression" priority="4" dxfId="5">
      <formula>G25&lt;0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8961E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8" customWidth="1" min="3" max="3"/>
    <col width="16" customWidth="1" min="4" max="4"/>
    <col width="16" customWidth="1" min="5" max="5"/>
    <col width="14" customWidth="1" min="6" max="6"/>
    <col width="2" customWidth="1" min="7" max="7"/>
  </cols>
  <sheetData>
    <row r="2" ht="34" customHeight="1">
      <c r="B2" s="80" t="inlineStr">
        <is>
          <t>WHY THE NEW MODEL PAYS JAMES MORE</t>
        </is>
      </c>
    </row>
    <row r="3" ht="28" customHeight="1">
      <c r="B3" s="66" t="inlineStr">
        <is>
          <t>Old model = flat salary no matter how much the firm grows. New model = lower base + commission on new signed cases, so his pay climbs with the growth he drives.</t>
        </is>
      </c>
    </row>
    <row r="5">
      <c r="B5" s="120" t="inlineStr">
        <is>
          <t xml:space="preserve">  James base — OLD</t>
        </is>
      </c>
      <c r="C5" s="67">
        <f>'Profitability'!E12</f>
        <v/>
      </c>
      <c r="E5" s="120" t="inlineStr">
        <is>
          <t xml:space="preserve">  Target intake (cases/wk)</t>
        </is>
      </c>
      <c r="F5" s="68">
        <f>'Profitability'!E11</f>
        <v/>
      </c>
    </row>
    <row r="6">
      <c r="B6" s="120" t="inlineStr">
        <is>
          <t xml:space="preserve">  James base — NEW</t>
        </is>
      </c>
      <c r="C6" s="137">
        <f>'Profitability'!E13</f>
        <v/>
      </c>
    </row>
    <row r="7">
      <c r="B7" s="120" t="inlineStr">
        <is>
          <t xml:space="preserve">  Commission % (signed value)</t>
        </is>
      </c>
      <c r="C7" s="70">
        <f>'Profitability'!E14</f>
        <v/>
      </c>
    </row>
    <row r="8">
      <c r="B8" s="120" t="inlineStr">
        <is>
          <t xml:space="preserve">  Case value</t>
        </is>
      </c>
      <c r="C8" s="71">
        <f>'Profitability'!E6</f>
        <v/>
      </c>
    </row>
    <row r="11" ht="30" customHeight="1">
      <c r="B11" s="72" t="inlineStr">
        <is>
          <t>Cases / week</t>
        </is>
      </c>
      <c r="C11" s="72" t="inlineStr">
        <is>
          <t>Signed value / yr</t>
        </is>
      </c>
      <c r="D11" s="72" t="inlineStr">
        <is>
          <t>James OLD ($)</t>
        </is>
      </c>
      <c r="E11" s="72" t="inlineStr">
        <is>
          <t>James NEW ($)</t>
        </is>
      </c>
      <c r="F11" s="72" t="inlineStr">
        <is>
          <t>Δ to James</t>
        </is>
      </c>
    </row>
    <row r="12" ht="16" customHeight="1">
      <c r="B12" s="157" t="n">
        <v>0</v>
      </c>
      <c r="C12" s="153">
        <f>B12*52*$C$8</f>
        <v/>
      </c>
      <c r="D12" s="153">
        <f>$C$5</f>
        <v/>
      </c>
      <c r="E12" s="73">
        <f>$C$6+$C$7*C12</f>
        <v/>
      </c>
      <c r="F12" s="153">
        <f>E12-D12</f>
        <v/>
      </c>
    </row>
    <row r="13" ht="16" customHeight="1">
      <c r="B13" s="157" t="n">
        <v>2.5</v>
      </c>
      <c r="C13" s="153">
        <f>B13*52*$C$8</f>
        <v/>
      </c>
      <c r="D13" s="153">
        <f>$C$5</f>
        <v/>
      </c>
      <c r="E13" s="73">
        <f>$C$6+$C$7*C13</f>
        <v/>
      </c>
      <c r="F13" s="153">
        <f>E13-D13</f>
        <v/>
      </c>
    </row>
    <row r="14" ht="16" customHeight="1">
      <c r="B14" s="157" t="n">
        <v>5</v>
      </c>
      <c r="C14" s="153">
        <f>B14*52*$C$8</f>
        <v/>
      </c>
      <c r="D14" s="153">
        <f>$C$5</f>
        <v/>
      </c>
      <c r="E14" s="73">
        <f>$C$6+$C$7*C14</f>
        <v/>
      </c>
      <c r="F14" s="153">
        <f>E14-D14</f>
        <v/>
      </c>
    </row>
    <row r="15" ht="16" customHeight="1">
      <c r="B15" s="157" t="n">
        <v>7.5</v>
      </c>
      <c r="C15" s="153">
        <f>B15*52*$C$8</f>
        <v/>
      </c>
      <c r="D15" s="153">
        <f>$C$5</f>
        <v/>
      </c>
      <c r="E15" s="73">
        <f>$C$6+$C$7*C15</f>
        <v/>
      </c>
      <c r="F15" s="153">
        <f>E15-D15</f>
        <v/>
      </c>
    </row>
    <row r="16" ht="16" customHeight="1">
      <c r="B16" s="157" t="n">
        <v>10</v>
      </c>
      <c r="C16" s="153">
        <f>B16*52*$C$8</f>
        <v/>
      </c>
      <c r="D16" s="153">
        <f>$C$5</f>
        <v/>
      </c>
      <c r="E16" s="73">
        <f>$C$6+$C$7*C16</f>
        <v/>
      </c>
      <c r="F16" s="153">
        <f>E16-D16</f>
        <v/>
      </c>
    </row>
    <row r="17" ht="16" customHeight="1">
      <c r="B17" s="157" t="n">
        <v>12.5</v>
      </c>
      <c r="C17" s="153">
        <f>B17*52*$C$8</f>
        <v/>
      </c>
      <c r="D17" s="153">
        <f>$C$5</f>
        <v/>
      </c>
      <c r="E17" s="73">
        <f>$C$6+$C$7*C17</f>
        <v/>
      </c>
      <c r="F17" s="153">
        <f>E17-D17</f>
        <v/>
      </c>
    </row>
    <row r="18" ht="16" customHeight="1">
      <c r="B18" s="157" t="n">
        <v>15</v>
      </c>
      <c r="C18" s="153">
        <f>B18*52*$C$8</f>
        <v/>
      </c>
      <c r="D18" s="153">
        <f>$C$5</f>
        <v/>
      </c>
      <c r="E18" s="73">
        <f>$C$6+$C$7*C18</f>
        <v/>
      </c>
      <c r="F18" s="153">
        <f>E18-D18</f>
        <v/>
      </c>
    </row>
    <row r="19" ht="16" customHeight="1">
      <c r="B19" s="157" t="n">
        <v>17.5</v>
      </c>
      <c r="C19" s="153">
        <f>B19*52*$C$8</f>
        <v/>
      </c>
      <c r="D19" s="153">
        <f>$C$5</f>
        <v/>
      </c>
      <c r="E19" s="73">
        <f>$C$6+$C$7*C19</f>
        <v/>
      </c>
      <c r="F19" s="153">
        <f>E19-D19</f>
        <v/>
      </c>
    </row>
    <row r="20" ht="16" customHeight="1">
      <c r="B20" s="157" t="n">
        <v>20</v>
      </c>
      <c r="C20" s="153">
        <f>B20*52*$C$8</f>
        <v/>
      </c>
      <c r="D20" s="153">
        <f>$C$5</f>
        <v/>
      </c>
      <c r="E20" s="73">
        <f>$C$6+$C$7*C20</f>
        <v/>
      </c>
      <c r="F20" s="153">
        <f>E20-D20</f>
        <v/>
      </c>
    </row>
    <row r="21" ht="16" customHeight="1">
      <c r="B21" s="157" t="n">
        <v>22.5</v>
      </c>
      <c r="C21" s="153">
        <f>B21*52*$C$8</f>
        <v/>
      </c>
      <c r="D21" s="153">
        <f>$C$5</f>
        <v/>
      </c>
      <c r="E21" s="73">
        <f>$C$6+$C$7*C21</f>
        <v/>
      </c>
      <c r="F21" s="153">
        <f>E21-D21</f>
        <v/>
      </c>
    </row>
    <row r="22" ht="16" customHeight="1">
      <c r="B22" s="74" t="n">
        <v>25</v>
      </c>
      <c r="C22" s="75">
        <f>B22*52*$C$8</f>
        <v/>
      </c>
      <c r="D22" s="75">
        <f>$C$5</f>
        <v/>
      </c>
      <c r="E22" s="75">
        <f>$C$6+$C$7*C22</f>
        <v/>
      </c>
      <c r="F22" s="75">
        <f>E22-D22</f>
        <v/>
      </c>
    </row>
    <row r="23" ht="16" customHeight="1">
      <c r="B23" s="157" t="n">
        <v>27.5</v>
      </c>
      <c r="C23" s="153">
        <f>B23*52*$C$8</f>
        <v/>
      </c>
      <c r="D23" s="153">
        <f>$C$5</f>
        <v/>
      </c>
      <c r="E23" s="73">
        <f>$C$6+$C$7*C23</f>
        <v/>
      </c>
      <c r="F23" s="153">
        <f>E23-D23</f>
        <v/>
      </c>
    </row>
    <row r="24" ht="16" customHeight="1">
      <c r="B24" s="157" t="n">
        <v>30</v>
      </c>
      <c r="C24" s="153">
        <f>B24*52*$C$8</f>
        <v/>
      </c>
      <c r="D24" s="153">
        <f>$C$5</f>
        <v/>
      </c>
      <c r="E24" s="73">
        <f>$C$6+$C$7*C24</f>
        <v/>
      </c>
      <c r="F24" s="153">
        <f>E24-D24</f>
        <v/>
      </c>
    </row>
    <row r="25" ht="16" customHeight="1">
      <c r="B25" s="157" t="n">
        <v>32.5</v>
      </c>
      <c r="C25" s="153">
        <f>B25*52*$C$8</f>
        <v/>
      </c>
      <c r="D25" s="153">
        <f>$C$5</f>
        <v/>
      </c>
      <c r="E25" s="73">
        <f>$C$6+$C$7*C25</f>
        <v/>
      </c>
      <c r="F25" s="153">
        <f>E25-D25</f>
        <v/>
      </c>
    </row>
    <row r="26" ht="16" customHeight="1">
      <c r="B26" s="157" t="n">
        <v>35</v>
      </c>
      <c r="C26" s="153">
        <f>B26*52*$C$8</f>
        <v/>
      </c>
      <c r="D26" s="153">
        <f>$C$5</f>
        <v/>
      </c>
      <c r="E26" s="73">
        <f>$C$6+$C$7*C26</f>
        <v/>
      </c>
      <c r="F26" s="153">
        <f>E26-D26</f>
        <v/>
      </c>
    </row>
    <row r="27" ht="16" customHeight="1">
      <c r="B27" s="157" t="n">
        <v>37.5</v>
      </c>
      <c r="C27" s="153">
        <f>B27*52*$C$8</f>
        <v/>
      </c>
      <c r="D27" s="153">
        <f>$C$5</f>
        <v/>
      </c>
      <c r="E27" s="73">
        <f>$C$6+$C$7*C27</f>
        <v/>
      </c>
      <c r="F27" s="153">
        <f>E27-D27</f>
        <v/>
      </c>
    </row>
    <row r="28" ht="16" customHeight="1">
      <c r="B28" s="157" t="n">
        <v>40</v>
      </c>
      <c r="C28" s="153">
        <f>B28*52*$C$8</f>
        <v/>
      </c>
      <c r="D28" s="153">
        <f>$C$5</f>
        <v/>
      </c>
      <c r="E28" s="73">
        <f>$C$6+$C$7*C28</f>
        <v/>
      </c>
      <c r="F28" s="153">
        <f>E28-D28</f>
        <v/>
      </c>
    </row>
    <row r="30" ht="30" customHeight="1">
      <c r="B30" s="76">
        <f>CONCATENATE("At the ",TEXT($F$5,"0")," cases/week goal: OLD ",TEXT(D22,"$#,##0")," → NEW ",TEXT(E22,"$#,##0")," (",TEXT(F22,"+$#,##0"),"/yr for James)")</f>
        <v/>
      </c>
      <c r="C30" s="78" t="n"/>
      <c r="D30" s="78" t="n"/>
      <c r="E30" s="78" t="n"/>
      <c r="F30" s="79" t="n"/>
    </row>
    <row r="31">
      <c r="B31" s="77" t="inlineStr">
        <is>
          <t>The lines cross near ~8 cases/week — beyond that, James earns more under the new model, and it keeps climbing.</t>
        </is>
      </c>
    </row>
  </sheetData>
  <mergeCells count="4">
    <mergeCell ref="B2:F2"/>
    <mergeCell ref="B31:F31"/>
    <mergeCell ref="B30:F30"/>
    <mergeCell ref="B3:F3"/>
  </mergeCells>
  <conditionalFormatting sqref="F12:F28">
    <cfRule type="expression" priority="1" dxfId="6">
      <formula>F12&gt;=0</formula>
    </cfRule>
    <cfRule type="expression" priority="2" dxfId="5">
      <formula>F12&lt;0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3402E"/>
    <outlinePr summaryBelow="1" summaryRight="1"/>
    <pageSetUpPr/>
  </sheetPr>
  <dimension ref="B2:K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15" customWidth="1" min="3" max="3"/>
    <col width="14" customWidth="1" min="4" max="4"/>
    <col width="1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5" customWidth="1" min="11" max="11"/>
    <col width="2" customWidth="1" min="12" max="12"/>
  </cols>
  <sheetData>
    <row r="2" ht="34" customHeight="1">
      <c r="B2" s="80" t="inlineStr">
        <is>
          <t>CASH TIMING  ·  Why the Ramp Pinches</t>
        </is>
      </c>
    </row>
    <row r="3" ht="16" customHeight="1">
      <c r="B3" s="81" t="inlineStr">
        <is>
          <t>Commission is paid up front on signings, but fees collect over the case lifespan. Early months bank far less cash than the run-rate P&amp;L implies. 18-month view at the NEW-comp intake.</t>
        </is>
      </c>
    </row>
    <row r="5" ht="18" customHeight="1">
      <c r="B5" s="119" t="inlineStr">
        <is>
          <t xml:space="preserve">  DRIVERS (linked from Profitability / Capacity Lite; yellow = editable)</t>
        </is>
      </c>
    </row>
    <row r="6" ht="18" customHeight="1">
      <c r="B6" s="83" t="inlineStr">
        <is>
          <t xml:space="preserve">  Starting cash ($)</t>
        </is>
      </c>
      <c r="F6" s="84" t="n">
        <v>250000</v>
      </c>
    </row>
    <row r="7" ht="18" customHeight="1">
      <c r="B7" s="83" t="inlineStr">
        <is>
          <t xml:space="preserve">  Starting open book (cases)</t>
        </is>
      </c>
      <c r="F7" s="85">
        <f>'Capacity Lite'!E8</f>
        <v/>
      </c>
    </row>
    <row r="8" ht="18" customHeight="1">
      <c r="B8" s="83" t="inlineStr">
        <is>
          <t xml:space="preserve">  Intake (cases / month)</t>
        </is>
      </c>
      <c r="F8" s="86">
        <f>'Profitability'!E11*52/12</f>
        <v/>
      </c>
    </row>
    <row r="9" ht="18" customHeight="1">
      <c r="B9" s="83" t="inlineStr">
        <is>
          <t xml:space="preserve">  Case value ($)</t>
        </is>
      </c>
      <c r="F9" s="87">
        <f>'Profitability'!E6</f>
        <v/>
      </c>
    </row>
    <row r="10" ht="18" customHeight="1">
      <c r="B10" s="83" t="inlineStr">
        <is>
          <t xml:space="preserve">  Lifespan (months)</t>
        </is>
      </c>
      <c r="F10" s="86">
        <f>'Profitability'!E7</f>
        <v/>
      </c>
    </row>
    <row r="11" ht="18" customHeight="1">
      <c r="B11" s="83" t="inlineStr">
        <is>
          <t xml:space="preserve">  Collection rate</t>
        </is>
      </c>
      <c r="F11" s="88">
        <f>'Profitability'!E9</f>
        <v/>
      </c>
    </row>
    <row r="12" ht="18" customHeight="1">
      <c r="B12" s="83" t="inlineStr">
        <is>
          <t xml:space="preserve">  Total commission rate (James+reps)</t>
        </is>
      </c>
      <c r="F12" s="89">
        <f>'Profitability'!E14+'Profitability'!E18</f>
        <v/>
      </c>
    </row>
    <row r="13" ht="18" customHeight="1">
      <c r="B13" s="83" t="inlineStr">
        <is>
          <t xml:space="preserve">  Base comp — James+reps / month</t>
        </is>
      </c>
      <c r="F13" s="87">
        <f>('Profitability'!E13+'Profitability'!E15*'Profitability'!E17)/12</f>
        <v/>
      </c>
    </row>
    <row r="14" ht="18" customHeight="1">
      <c r="B14" s="83" t="inlineStr">
        <is>
          <t xml:space="preserve">  Max cases / mgr</t>
        </is>
      </c>
      <c r="F14" s="86">
        <f>'Profitability'!E8</f>
        <v/>
      </c>
    </row>
    <row r="15" ht="18" customHeight="1">
      <c r="B15" s="83" t="inlineStr">
        <is>
          <t xml:space="preserve">  Case mgr loaded comp ($/yr)</t>
        </is>
      </c>
      <c r="F15" s="87">
        <f>'Profitability'!E19</f>
        <v/>
      </c>
    </row>
    <row r="16" ht="18" customHeight="1">
      <c r="B16" s="83" t="inlineStr">
        <is>
          <t xml:space="preserve">  MG&amp;A fixed / month</t>
        </is>
      </c>
      <c r="F16" s="87">
        <f>'Profitability'!E20/12</f>
        <v/>
      </c>
    </row>
    <row r="17" ht="18" customHeight="1">
      <c r="B17" s="83" t="inlineStr">
        <is>
          <t xml:space="preserve">  MG&amp;A variable (% of collections)</t>
        </is>
      </c>
      <c r="F17" s="88">
        <f>'Profitability'!E21</f>
        <v/>
      </c>
    </row>
    <row r="18">
      <c r="B18" s="83" t="inlineStr">
        <is>
          <t xml:space="preserve">  Collection per active case / month</t>
        </is>
      </c>
      <c r="F18" s="90">
        <f>F9*F11/F10</f>
        <v/>
      </c>
    </row>
    <row r="19">
      <c r="B19" s="83" t="inlineStr">
        <is>
          <t xml:space="preserve">  Run-rate collected revenue / month (steady state)</t>
        </is>
      </c>
      <c r="F19" s="90">
        <f>F8*F9*F11</f>
        <v/>
      </c>
    </row>
    <row r="21" ht="18" customHeight="1">
      <c r="B21" s="128" t="inlineStr">
        <is>
          <t xml:space="preserve">  18-MONTH CASH PROJECTION</t>
        </is>
      </c>
    </row>
    <row r="22" ht="32" customHeight="1">
      <c r="B22" s="92" t="inlineStr">
        <is>
          <t>Month</t>
        </is>
      </c>
      <c r="C22" s="92" t="inlineStr">
        <is>
          <t>New signings $</t>
        </is>
      </c>
      <c r="D22" s="92" t="inlineStr">
        <is>
          <t>Commission</t>
        </is>
      </c>
      <c r="E22" s="92" t="inlineStr">
        <is>
          <t>Active cases</t>
        </is>
      </c>
      <c r="F22" s="92" t="inlineStr">
        <is>
          <t>Collections</t>
        </is>
      </c>
      <c r="G22" s="92" t="inlineStr">
        <is>
          <t>Case mgr cost</t>
        </is>
      </c>
      <c r="H22" s="92" t="inlineStr">
        <is>
          <t>Base + MG&amp;A</t>
        </is>
      </c>
      <c r="I22" s="92" t="inlineStr">
        <is>
          <t>Net cash</t>
        </is>
      </c>
      <c r="J22" s="92" t="inlineStr">
        <is>
          <t>Cumulative cash</t>
        </is>
      </c>
      <c r="K22" s="92" t="inlineStr">
        <is>
          <t>Run-rate rev</t>
        </is>
      </c>
    </row>
    <row r="23" ht="15" customHeight="1">
      <c r="B23" s="155" t="n">
        <v>1</v>
      </c>
      <c r="C23" s="153">
        <f>F8*F9</f>
        <v/>
      </c>
      <c r="D23" s="95">
        <f>F12*C23</f>
        <v/>
      </c>
      <c r="E23" s="96">
        <f>F7*MAX(0,(F10-(1-1))/F10)+F8*MIN(1,F10)</f>
        <v/>
      </c>
      <c r="F23" s="97">
        <f>E23*F18</f>
        <v/>
      </c>
      <c r="G23" s="153">
        <f>E23/F14*F15/12</f>
        <v/>
      </c>
      <c r="H23" s="153">
        <f>F13+F16+F17*F23</f>
        <v/>
      </c>
      <c r="I23" s="98">
        <f>F23-D23-G23-H23</f>
        <v/>
      </c>
      <c r="J23" s="143">
        <f>F6+I23</f>
        <v/>
      </c>
      <c r="K23" s="100">
        <f>F19</f>
        <v/>
      </c>
    </row>
    <row r="24" ht="15" customHeight="1">
      <c r="B24" s="155" t="n">
        <v>2</v>
      </c>
      <c r="C24" s="153">
        <f>F8*F9</f>
        <v/>
      </c>
      <c r="D24" s="95">
        <f>F12*C24</f>
        <v/>
      </c>
      <c r="E24" s="96">
        <f>F7*MAX(0,(F10-(2-1))/F10)+F8*MIN(2,F10)</f>
        <v/>
      </c>
      <c r="F24" s="97">
        <f>E24*F18</f>
        <v/>
      </c>
      <c r="G24" s="153">
        <f>E24/F14*F15/12</f>
        <v/>
      </c>
      <c r="H24" s="153">
        <f>F13+F16+F17*F24</f>
        <v/>
      </c>
      <c r="I24" s="98">
        <f>F24-D24-G24-H24</f>
        <v/>
      </c>
      <c r="J24" s="143">
        <f>J23+I24</f>
        <v/>
      </c>
      <c r="K24" s="100">
        <f>F19</f>
        <v/>
      </c>
    </row>
    <row r="25" ht="15" customHeight="1">
      <c r="B25" s="155" t="n">
        <v>3</v>
      </c>
      <c r="C25" s="153">
        <f>F8*F9</f>
        <v/>
      </c>
      <c r="D25" s="95">
        <f>F12*C25</f>
        <v/>
      </c>
      <c r="E25" s="96">
        <f>F7*MAX(0,(F10-(3-1))/F10)+F8*MIN(3,F10)</f>
        <v/>
      </c>
      <c r="F25" s="97">
        <f>E25*F18</f>
        <v/>
      </c>
      <c r="G25" s="153">
        <f>E25/F14*F15/12</f>
        <v/>
      </c>
      <c r="H25" s="153">
        <f>F13+F16+F17*F25</f>
        <v/>
      </c>
      <c r="I25" s="98">
        <f>F25-D25-G25-H25</f>
        <v/>
      </c>
      <c r="J25" s="143">
        <f>J24+I25</f>
        <v/>
      </c>
      <c r="K25" s="100">
        <f>F19</f>
        <v/>
      </c>
    </row>
    <row r="26" ht="15" customHeight="1">
      <c r="B26" s="155" t="n">
        <v>4</v>
      </c>
      <c r="C26" s="153">
        <f>F8*F9</f>
        <v/>
      </c>
      <c r="D26" s="95">
        <f>F12*C26</f>
        <v/>
      </c>
      <c r="E26" s="96">
        <f>F7*MAX(0,(F10-(4-1))/F10)+F8*MIN(4,F10)</f>
        <v/>
      </c>
      <c r="F26" s="97">
        <f>E26*F18</f>
        <v/>
      </c>
      <c r="G26" s="153">
        <f>E26/F14*F15/12</f>
        <v/>
      </c>
      <c r="H26" s="153">
        <f>F13+F16+F17*F26</f>
        <v/>
      </c>
      <c r="I26" s="98">
        <f>F26-D26-G26-H26</f>
        <v/>
      </c>
      <c r="J26" s="143">
        <f>J25+I26</f>
        <v/>
      </c>
      <c r="K26" s="100">
        <f>F19</f>
        <v/>
      </c>
    </row>
    <row r="27" ht="15" customHeight="1">
      <c r="B27" s="155" t="n">
        <v>5</v>
      </c>
      <c r="C27" s="153">
        <f>F8*F9</f>
        <v/>
      </c>
      <c r="D27" s="95">
        <f>F12*C27</f>
        <v/>
      </c>
      <c r="E27" s="96">
        <f>F7*MAX(0,(F10-(5-1))/F10)+F8*MIN(5,F10)</f>
        <v/>
      </c>
      <c r="F27" s="97">
        <f>E27*F18</f>
        <v/>
      </c>
      <c r="G27" s="153">
        <f>E27/F14*F15/12</f>
        <v/>
      </c>
      <c r="H27" s="153">
        <f>F13+F16+F17*F27</f>
        <v/>
      </c>
      <c r="I27" s="98">
        <f>F27-D27-G27-H27</f>
        <v/>
      </c>
      <c r="J27" s="143">
        <f>J26+I27</f>
        <v/>
      </c>
      <c r="K27" s="100">
        <f>F19</f>
        <v/>
      </c>
    </row>
    <row r="28" ht="15" customHeight="1">
      <c r="B28" s="155" t="n">
        <v>6</v>
      </c>
      <c r="C28" s="153">
        <f>F8*F9</f>
        <v/>
      </c>
      <c r="D28" s="95">
        <f>F12*C28</f>
        <v/>
      </c>
      <c r="E28" s="96">
        <f>F7*MAX(0,(F10-(6-1))/F10)+F8*MIN(6,F10)</f>
        <v/>
      </c>
      <c r="F28" s="97">
        <f>E28*F18</f>
        <v/>
      </c>
      <c r="G28" s="153">
        <f>E28/F14*F15/12</f>
        <v/>
      </c>
      <c r="H28" s="153">
        <f>F13+F16+F17*F28</f>
        <v/>
      </c>
      <c r="I28" s="98">
        <f>F28-D28-G28-H28</f>
        <v/>
      </c>
      <c r="J28" s="143">
        <f>J27+I28</f>
        <v/>
      </c>
      <c r="K28" s="100">
        <f>F19</f>
        <v/>
      </c>
    </row>
    <row r="29" ht="15" customHeight="1">
      <c r="B29" s="155" t="n">
        <v>7</v>
      </c>
      <c r="C29" s="153">
        <f>F8*F9</f>
        <v/>
      </c>
      <c r="D29" s="95">
        <f>F12*C29</f>
        <v/>
      </c>
      <c r="E29" s="96">
        <f>F7*MAX(0,(F10-(7-1))/F10)+F8*MIN(7,F10)</f>
        <v/>
      </c>
      <c r="F29" s="97">
        <f>E29*F18</f>
        <v/>
      </c>
      <c r="G29" s="153">
        <f>E29/F14*F15/12</f>
        <v/>
      </c>
      <c r="H29" s="153">
        <f>F13+F16+F17*F29</f>
        <v/>
      </c>
      <c r="I29" s="98">
        <f>F29-D29-G29-H29</f>
        <v/>
      </c>
      <c r="J29" s="143">
        <f>J28+I29</f>
        <v/>
      </c>
      <c r="K29" s="100">
        <f>F19</f>
        <v/>
      </c>
    </row>
    <row r="30" ht="15" customHeight="1">
      <c r="B30" s="155" t="n">
        <v>8</v>
      </c>
      <c r="C30" s="153">
        <f>F8*F9</f>
        <v/>
      </c>
      <c r="D30" s="95">
        <f>F12*C30</f>
        <v/>
      </c>
      <c r="E30" s="96">
        <f>F7*MAX(0,(F10-(8-1))/F10)+F8*MIN(8,F10)</f>
        <v/>
      </c>
      <c r="F30" s="97">
        <f>E30*F18</f>
        <v/>
      </c>
      <c r="G30" s="153">
        <f>E30/F14*F15/12</f>
        <v/>
      </c>
      <c r="H30" s="153">
        <f>F13+F16+F17*F30</f>
        <v/>
      </c>
      <c r="I30" s="98">
        <f>F30-D30-G30-H30</f>
        <v/>
      </c>
      <c r="J30" s="143">
        <f>J29+I30</f>
        <v/>
      </c>
      <c r="K30" s="100">
        <f>F19</f>
        <v/>
      </c>
    </row>
    <row r="31" ht="15" customHeight="1">
      <c r="B31" s="155" t="n">
        <v>9</v>
      </c>
      <c r="C31" s="153">
        <f>F8*F9</f>
        <v/>
      </c>
      <c r="D31" s="95">
        <f>F12*C31</f>
        <v/>
      </c>
      <c r="E31" s="96">
        <f>F7*MAX(0,(F10-(9-1))/F10)+F8*MIN(9,F10)</f>
        <v/>
      </c>
      <c r="F31" s="97">
        <f>E31*F18</f>
        <v/>
      </c>
      <c r="G31" s="153">
        <f>E31/F14*F15/12</f>
        <v/>
      </c>
      <c r="H31" s="153">
        <f>F13+F16+F17*F31</f>
        <v/>
      </c>
      <c r="I31" s="98">
        <f>F31-D31-G31-H31</f>
        <v/>
      </c>
      <c r="J31" s="143">
        <f>J30+I31</f>
        <v/>
      </c>
      <c r="K31" s="100">
        <f>F19</f>
        <v/>
      </c>
    </row>
    <row r="32" ht="15" customHeight="1">
      <c r="B32" s="155" t="n">
        <v>10</v>
      </c>
      <c r="C32" s="153">
        <f>F8*F9</f>
        <v/>
      </c>
      <c r="D32" s="95">
        <f>F12*C32</f>
        <v/>
      </c>
      <c r="E32" s="96">
        <f>F7*MAX(0,(F10-(10-1))/F10)+F8*MIN(10,F10)</f>
        <v/>
      </c>
      <c r="F32" s="97">
        <f>E32*F18</f>
        <v/>
      </c>
      <c r="G32" s="153">
        <f>E32/F14*F15/12</f>
        <v/>
      </c>
      <c r="H32" s="153">
        <f>F13+F16+F17*F32</f>
        <v/>
      </c>
      <c r="I32" s="98">
        <f>F32-D32-G32-H32</f>
        <v/>
      </c>
      <c r="J32" s="143">
        <f>J31+I32</f>
        <v/>
      </c>
      <c r="K32" s="100">
        <f>F19</f>
        <v/>
      </c>
    </row>
    <row r="33" ht="15" customHeight="1">
      <c r="B33" s="155" t="n">
        <v>11</v>
      </c>
      <c r="C33" s="153">
        <f>F8*F9</f>
        <v/>
      </c>
      <c r="D33" s="95">
        <f>F12*C33</f>
        <v/>
      </c>
      <c r="E33" s="96">
        <f>F7*MAX(0,(F10-(11-1))/F10)+F8*MIN(11,F10)</f>
        <v/>
      </c>
      <c r="F33" s="97">
        <f>E33*F18</f>
        <v/>
      </c>
      <c r="G33" s="153">
        <f>E33/F14*F15/12</f>
        <v/>
      </c>
      <c r="H33" s="153">
        <f>F13+F16+F17*F33</f>
        <v/>
      </c>
      <c r="I33" s="98">
        <f>F33-D33-G33-H33</f>
        <v/>
      </c>
      <c r="J33" s="143">
        <f>J32+I33</f>
        <v/>
      </c>
      <c r="K33" s="100">
        <f>F19</f>
        <v/>
      </c>
    </row>
    <row r="34" ht="15" customHeight="1">
      <c r="B34" s="155" t="n">
        <v>12</v>
      </c>
      <c r="C34" s="153">
        <f>F8*F9</f>
        <v/>
      </c>
      <c r="D34" s="95">
        <f>F12*C34</f>
        <v/>
      </c>
      <c r="E34" s="96">
        <f>F7*MAX(0,(F10-(12-1))/F10)+F8*MIN(12,F10)</f>
        <v/>
      </c>
      <c r="F34" s="97">
        <f>E34*F18</f>
        <v/>
      </c>
      <c r="G34" s="153">
        <f>E34/F14*F15/12</f>
        <v/>
      </c>
      <c r="H34" s="153">
        <f>F13+F16+F17*F34</f>
        <v/>
      </c>
      <c r="I34" s="98">
        <f>F34-D34-G34-H34</f>
        <v/>
      </c>
      <c r="J34" s="143">
        <f>J33+I34</f>
        <v/>
      </c>
      <c r="K34" s="100">
        <f>F19</f>
        <v/>
      </c>
    </row>
    <row r="35" ht="15" customHeight="1">
      <c r="B35" s="155" t="n">
        <v>13</v>
      </c>
      <c r="C35" s="153">
        <f>F8*F9</f>
        <v/>
      </c>
      <c r="D35" s="95">
        <f>F12*C35</f>
        <v/>
      </c>
      <c r="E35" s="96">
        <f>F7*MAX(0,(F10-(13-1))/F10)+F8*MIN(13,F10)</f>
        <v/>
      </c>
      <c r="F35" s="97">
        <f>E35*F18</f>
        <v/>
      </c>
      <c r="G35" s="153">
        <f>E35/F14*F15/12</f>
        <v/>
      </c>
      <c r="H35" s="153">
        <f>F13+F16+F17*F35</f>
        <v/>
      </c>
      <c r="I35" s="98">
        <f>F35-D35-G35-H35</f>
        <v/>
      </c>
      <c r="J35" s="143">
        <f>J34+I35</f>
        <v/>
      </c>
      <c r="K35" s="100">
        <f>F19</f>
        <v/>
      </c>
    </row>
    <row r="36" ht="15" customHeight="1">
      <c r="B36" s="155" t="n">
        <v>14</v>
      </c>
      <c r="C36" s="153">
        <f>F8*F9</f>
        <v/>
      </c>
      <c r="D36" s="95">
        <f>F12*C36</f>
        <v/>
      </c>
      <c r="E36" s="96">
        <f>F7*MAX(0,(F10-(14-1))/F10)+F8*MIN(14,F10)</f>
        <v/>
      </c>
      <c r="F36" s="97">
        <f>E36*F18</f>
        <v/>
      </c>
      <c r="G36" s="153">
        <f>E36/F14*F15/12</f>
        <v/>
      </c>
      <c r="H36" s="153">
        <f>F13+F16+F17*F36</f>
        <v/>
      </c>
      <c r="I36" s="98">
        <f>F36-D36-G36-H36</f>
        <v/>
      </c>
      <c r="J36" s="143">
        <f>J35+I36</f>
        <v/>
      </c>
      <c r="K36" s="100">
        <f>F19</f>
        <v/>
      </c>
    </row>
    <row r="37" ht="15" customHeight="1">
      <c r="B37" s="155" t="n">
        <v>15</v>
      </c>
      <c r="C37" s="153">
        <f>F8*F9</f>
        <v/>
      </c>
      <c r="D37" s="95">
        <f>F12*C37</f>
        <v/>
      </c>
      <c r="E37" s="96">
        <f>F7*MAX(0,(F10-(15-1))/F10)+F8*MIN(15,F10)</f>
        <v/>
      </c>
      <c r="F37" s="97">
        <f>E37*F18</f>
        <v/>
      </c>
      <c r="G37" s="153">
        <f>E37/F14*F15/12</f>
        <v/>
      </c>
      <c r="H37" s="153">
        <f>F13+F16+F17*F37</f>
        <v/>
      </c>
      <c r="I37" s="98">
        <f>F37-D37-G37-H37</f>
        <v/>
      </c>
      <c r="J37" s="143">
        <f>J36+I37</f>
        <v/>
      </c>
      <c r="K37" s="100">
        <f>F19</f>
        <v/>
      </c>
    </row>
    <row r="38" ht="15" customHeight="1">
      <c r="B38" s="155" t="n">
        <v>16</v>
      </c>
      <c r="C38" s="153">
        <f>F8*F9</f>
        <v/>
      </c>
      <c r="D38" s="95">
        <f>F12*C38</f>
        <v/>
      </c>
      <c r="E38" s="96">
        <f>F7*MAX(0,(F10-(16-1))/F10)+F8*MIN(16,F10)</f>
        <v/>
      </c>
      <c r="F38" s="97">
        <f>E38*F18</f>
        <v/>
      </c>
      <c r="G38" s="153">
        <f>E38/F14*F15/12</f>
        <v/>
      </c>
      <c r="H38" s="153">
        <f>F13+F16+F17*F38</f>
        <v/>
      </c>
      <c r="I38" s="98">
        <f>F38-D38-G38-H38</f>
        <v/>
      </c>
      <c r="J38" s="143">
        <f>J37+I38</f>
        <v/>
      </c>
      <c r="K38" s="100">
        <f>F19</f>
        <v/>
      </c>
    </row>
    <row r="39" ht="15" customHeight="1">
      <c r="B39" s="155" t="n">
        <v>17</v>
      </c>
      <c r="C39" s="153">
        <f>F8*F9</f>
        <v/>
      </c>
      <c r="D39" s="95">
        <f>F12*C39</f>
        <v/>
      </c>
      <c r="E39" s="96">
        <f>F7*MAX(0,(F10-(17-1))/F10)+F8*MIN(17,F10)</f>
        <v/>
      </c>
      <c r="F39" s="97">
        <f>E39*F18</f>
        <v/>
      </c>
      <c r="G39" s="153">
        <f>E39/F14*F15/12</f>
        <v/>
      </c>
      <c r="H39" s="153">
        <f>F13+F16+F17*F39</f>
        <v/>
      </c>
      <c r="I39" s="98">
        <f>F39-D39-G39-H39</f>
        <v/>
      </c>
      <c r="J39" s="143">
        <f>J38+I39</f>
        <v/>
      </c>
      <c r="K39" s="100">
        <f>F19</f>
        <v/>
      </c>
    </row>
    <row r="40" ht="15" customHeight="1">
      <c r="B40" s="155" t="n">
        <v>18</v>
      </c>
      <c r="C40" s="153">
        <f>F8*F9</f>
        <v/>
      </c>
      <c r="D40" s="95">
        <f>F12*C40</f>
        <v/>
      </c>
      <c r="E40" s="96">
        <f>F7*MAX(0,(F10-(18-1))/F10)+F8*MIN(18,F10)</f>
        <v/>
      </c>
      <c r="F40" s="97">
        <f>E40*F18</f>
        <v/>
      </c>
      <c r="G40" s="153">
        <f>E40/F14*F15/12</f>
        <v/>
      </c>
      <c r="H40" s="153">
        <f>F13+F16+F17*F40</f>
        <v/>
      </c>
      <c r="I40" s="98">
        <f>F40-D40-G40-H40</f>
        <v/>
      </c>
      <c r="J40" s="143">
        <f>J39+I40</f>
        <v/>
      </c>
      <c r="K40" s="100">
        <f>F19</f>
        <v/>
      </c>
    </row>
    <row r="42">
      <c r="B42" s="120" t="inlineStr">
        <is>
          <t xml:space="preserve">  Cash-flow trough (min cumulative)</t>
        </is>
      </c>
      <c r="F42" s="102">
        <f>MIN(J23:J40)</f>
        <v/>
      </c>
      <c r="G42" s="149" t="inlineStr">
        <is>
          <t>lowest your cash gets during the ramp</t>
        </is>
      </c>
    </row>
    <row r="43">
      <c r="B43" s="120" t="inlineStr">
        <is>
          <t xml:space="preserve">  Month-1 cash vs run-rate profit gap</t>
        </is>
      </c>
      <c r="F43" s="102">
        <f>K23-F23</f>
        <v/>
      </c>
      <c r="G43" s="149" t="inlineStr">
        <is>
          <t>collections shortfall vs steady-state in month 1</t>
        </is>
      </c>
    </row>
    <row r="45">
      <c r="B45" s="104">
        <f>IF(MIN(J23:J40)&lt;0,"CASH GOES NEGATIVE DURING RAMP — secure a buffer / line of credit before scaling intake","CASH STAYS POSITIVE — but early months bank well below run-rate; keep the buffer intact")</f>
        <v/>
      </c>
      <c r="C45" s="30" t="n"/>
      <c r="D45" s="30" t="n"/>
      <c r="E45" s="30" t="n"/>
      <c r="F45" s="30" t="n"/>
      <c r="G45" s="30" t="n"/>
      <c r="H45" s="30" t="n"/>
      <c r="I45" s="30" t="n"/>
      <c r="J45" s="30" t="n"/>
      <c r="K45" s="31" t="n"/>
    </row>
    <row r="46">
      <c r="B46" s="34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6" t="n"/>
    </row>
  </sheetData>
  <mergeCells count="23">
    <mergeCell ref="B9:E9"/>
    <mergeCell ref="G43:K43"/>
    <mergeCell ref="B6:E6"/>
    <mergeCell ref="B15:E15"/>
    <mergeCell ref="G42:K42"/>
    <mergeCell ref="B5:K5"/>
    <mergeCell ref="B16:E16"/>
    <mergeCell ref="B7:E7"/>
    <mergeCell ref="B3:K3"/>
    <mergeCell ref="B18:E18"/>
    <mergeCell ref="B43:E43"/>
    <mergeCell ref="B12:E12"/>
    <mergeCell ref="B21:K21"/>
    <mergeCell ref="B11:E11"/>
    <mergeCell ref="B2:K2"/>
    <mergeCell ref="B42:E42"/>
    <mergeCell ref="B14:E14"/>
    <mergeCell ref="B17:E17"/>
    <mergeCell ref="B45:K46"/>
    <mergeCell ref="B8:E8"/>
    <mergeCell ref="B13:E13"/>
    <mergeCell ref="B19:E19"/>
    <mergeCell ref="B10:E10"/>
  </mergeCells>
  <conditionalFormatting sqref="I23:I40">
    <cfRule type="expression" priority="1" dxfId="7">
      <formula>I23&lt;0</formula>
    </cfRule>
  </conditionalFormatting>
  <conditionalFormatting sqref="J23:J40">
    <cfRule type="expression" priority="2" dxfId="7">
      <formula>J23&lt;0</formula>
    </cfRule>
  </conditionalFormatting>
  <conditionalFormatting sqref="B45">
    <cfRule type="expression" priority="3" dxfId="8">
      <formula>MIN(J23:J40)&lt;0</formula>
    </cfRule>
    <cfRule type="expression" priority="4" dxfId="9">
      <formula>MIN(J23:J40)&gt;=0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B2A4A"/>
    <outlinePr summaryBelow="1" summaryRight="1"/>
    <pageSetUpPr/>
  </sheetPr>
  <dimension ref="B2:G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" customWidth="1" min="7" max="7"/>
  </cols>
  <sheetData>
    <row r="2" ht="32" customHeight="1">
      <c r="B2" s="118" t="inlineStr">
        <is>
          <t>COMP OPTIMIZER  ·  Highest James Rate the Firm Can Afford</t>
        </is>
      </c>
    </row>
    <row r="3" ht="28" customHeight="1">
      <c r="B3" s="66" t="inlineStr">
        <is>
          <t>Solves for the maximum James commission % that still (a) keeps the firm no worse than the old model, and (b) holds a target net margin. All else linked from Profitability.</t>
        </is>
      </c>
    </row>
    <row r="5" ht="18" customHeight="1">
      <c r="B5" s="119" t="inlineStr">
        <is>
          <t xml:space="preserve">  INPUT</t>
        </is>
      </c>
    </row>
    <row r="6">
      <c r="B6" s="129" t="inlineStr">
        <is>
          <t xml:space="preserve">  Target net margin (floor)</t>
        </is>
      </c>
      <c r="C6" s="107" t="n">
        <v>0.25</v>
      </c>
      <c r="D6" s="108" t="inlineStr">
        <is>
          <t>current James commission % →</t>
        </is>
      </c>
      <c r="E6" s="109">
        <f>'Profitability'!E14</f>
        <v/>
      </c>
    </row>
    <row r="8" ht="18" customHeight="1">
      <c r="B8" s="128" t="inlineStr">
        <is>
          <t xml:space="preserve">  RESULTS</t>
        </is>
      </c>
    </row>
    <row r="9" ht="22" customHeight="1">
      <c r="B9" s="129" t="inlineStr">
        <is>
          <t xml:space="preserve">  Firm net profit — OLD model</t>
        </is>
      </c>
      <c r="C9" s="153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  <c r="D9" s="149" t="inlineStr">
        <is>
          <t>the floor to beat</t>
        </is>
      </c>
    </row>
    <row r="10" ht="22" customHeight="1">
      <c r="B10" s="129" t="inlineStr">
        <is>
          <t xml:space="preserve">  Firm net profit — NEW (at current James %)</t>
        </is>
      </c>
      <c r="C10" s="153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'Profitability'!E14*('Profitability'!E11*52*'Profitability'!E6)</f>
        <v/>
      </c>
      <c r="D10" s="149" t="inlineStr">
        <is>
          <t>with James commission applied</t>
        </is>
      </c>
    </row>
    <row r="11" ht="22" customHeight="1">
      <c r="B11" s="120" t="inlineStr">
        <is>
          <t xml:space="preserve">  Max James % — stay ACCRETIVE vs old</t>
        </is>
      </c>
      <c r="C11" s="110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)/('Profitability'!E11*52*'Profitability'!E6)</f>
        <v/>
      </c>
      <c r="D11" s="149" t="inlineStr">
        <is>
          <t>above this, firm earns less than old model</t>
        </is>
      </c>
    </row>
    <row r="12" ht="22" customHeight="1">
      <c r="B12" s="120" t="inlineStr">
        <is>
          <t xml:space="preserve">  Max James % — hold target margin</t>
        </is>
      </c>
      <c r="C12" s="110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C6*(('Profitability'!E11*52*'Profitability'!E6)*'Profitability'!E9))/('Profitability'!E11*52*'Profitability'!E6)</f>
        <v/>
      </c>
      <c r="D12" s="149" t="inlineStr">
        <is>
          <t>above this, margin falls below the floor</t>
        </is>
      </c>
    </row>
    <row r="13" ht="22" customHeight="1">
      <c r="B13" s="129" t="inlineStr">
        <is>
          <t xml:space="preserve">  Headroom on James % (accretive − current)</t>
        </is>
      </c>
      <c r="C13" s="111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)/('Profitability'!E11*52*'Profitability'!E6)-'Profitability'!E14</f>
        <v/>
      </c>
      <c r="D13" s="149" t="inlineStr">
        <is>
          <t>how much room to raise his rate</t>
        </is>
      </c>
    </row>
    <row r="15" ht="18" customHeight="1">
      <c r="B15" s="144" t="inlineStr">
        <is>
          <t xml:space="preserve">  SENSITIVITY — James commission % vs firm profit &amp; his pay</t>
        </is>
      </c>
    </row>
    <row r="16" ht="28" customHeight="1">
      <c r="B16" s="113" t="inlineStr">
        <is>
          <t>James comm %</t>
        </is>
      </c>
      <c r="C16" s="113" t="inlineStr">
        <is>
          <t>James pay ($)</t>
        </is>
      </c>
      <c r="D16" s="113" t="inlineStr">
        <is>
          <t>Firm net profit</t>
        </is>
      </c>
      <c r="E16" s="113" t="inlineStr">
        <is>
          <t>Net margin</t>
        </is>
      </c>
      <c r="F16" s="113" t="inlineStr">
        <is>
          <t>Beats old?</t>
        </is>
      </c>
      <c r="G16" s="114" t="inlineStr">
        <is>
          <t>Old-model net</t>
        </is>
      </c>
    </row>
    <row r="17" ht="15" customHeight="1">
      <c r="B17" s="115" t="n">
        <v>0</v>
      </c>
      <c r="C17" s="156">
        <f>'Profitability'!E13+B17*('Profitability'!E11*52*'Profitability'!E6)</f>
        <v/>
      </c>
      <c r="D17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</f>
        <v/>
      </c>
      <c r="E17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)/(('Profitability'!E11*52*'Profitability'!E6)*'Profitability'!E9)</f>
        <v/>
      </c>
      <c r="F17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7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18" ht="15" customHeight="1">
      <c r="B18" s="115" t="n">
        <v>0.005</v>
      </c>
      <c r="C18" s="156">
        <f>'Profitability'!E13+B18*('Profitability'!E11*52*'Profitability'!E6)</f>
        <v/>
      </c>
      <c r="D18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</f>
        <v/>
      </c>
      <c r="E18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)/(('Profitability'!E11*52*'Profitability'!E6)*'Profitability'!E9)</f>
        <v/>
      </c>
      <c r="F18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8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19" ht="15" customHeight="1">
      <c r="B19" s="115" t="n">
        <v>0.01</v>
      </c>
      <c r="C19" s="156">
        <f>'Profitability'!E13+B19*('Profitability'!E11*52*'Profitability'!E6)</f>
        <v/>
      </c>
      <c r="D19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</f>
        <v/>
      </c>
      <c r="E19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)/(('Profitability'!E11*52*'Profitability'!E6)*'Profitability'!E9)</f>
        <v/>
      </c>
      <c r="F19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9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0" ht="15" customHeight="1">
      <c r="B20" s="115" t="n">
        <v>0.015</v>
      </c>
      <c r="C20" s="156">
        <f>'Profitability'!E13+B20*('Profitability'!E11*52*'Profitability'!E6)</f>
        <v/>
      </c>
      <c r="D20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</f>
        <v/>
      </c>
      <c r="E20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)/(('Profitability'!E11*52*'Profitability'!E6)*'Profitability'!E9)</f>
        <v/>
      </c>
      <c r="F20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0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1" ht="15" customHeight="1">
      <c r="B21" s="115" t="n">
        <v>0.02</v>
      </c>
      <c r="C21" s="156">
        <f>'Profitability'!E13+B21*('Profitability'!E11*52*'Profitability'!E6)</f>
        <v/>
      </c>
      <c r="D21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</f>
        <v/>
      </c>
      <c r="E21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)/(('Profitability'!E11*52*'Profitability'!E6)*'Profitability'!E9)</f>
        <v/>
      </c>
      <c r="F21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1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2" ht="15" customHeight="1">
      <c r="B22" s="115" t="n">
        <v>0.025</v>
      </c>
      <c r="C22" s="156">
        <f>'Profitability'!E13+B22*('Profitability'!E11*52*'Profitability'!E6)</f>
        <v/>
      </c>
      <c r="D22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</f>
        <v/>
      </c>
      <c r="E22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)/(('Profitability'!E11*52*'Profitability'!E6)*'Profitability'!E9)</f>
        <v/>
      </c>
      <c r="F22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2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3" ht="15" customHeight="1">
      <c r="B23" s="115" t="n">
        <v>0.03</v>
      </c>
      <c r="C23" s="156">
        <f>'Profitability'!E13+B23*('Profitability'!E11*52*'Profitability'!E6)</f>
        <v/>
      </c>
      <c r="D23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</f>
        <v/>
      </c>
      <c r="E23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)/(('Profitability'!E11*52*'Profitability'!E6)*'Profitability'!E9)</f>
        <v/>
      </c>
      <c r="F23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3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4" ht="15" customHeight="1">
      <c r="B24" s="115" t="n">
        <v>0.035</v>
      </c>
      <c r="C24" s="156">
        <f>'Profitability'!E13+B24*('Profitability'!E11*52*'Profitability'!E6)</f>
        <v/>
      </c>
      <c r="D24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</f>
        <v/>
      </c>
      <c r="E24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)/(('Profitability'!E11*52*'Profitability'!E6)*'Profitability'!E9)</f>
        <v/>
      </c>
      <c r="F24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4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5" ht="15" customHeight="1">
      <c r="B25" s="115" t="n">
        <v>0.04</v>
      </c>
      <c r="C25" s="156">
        <f>'Profitability'!E13+B25*('Profitability'!E11*52*'Profitability'!E6)</f>
        <v/>
      </c>
      <c r="D25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</f>
        <v/>
      </c>
      <c r="E25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)/(('Profitability'!E11*52*'Profitability'!E6)*'Profitability'!E9)</f>
        <v/>
      </c>
      <c r="F25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5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6" ht="15" customHeight="1">
      <c r="B26" s="115" t="n">
        <v>0.045</v>
      </c>
      <c r="C26" s="156">
        <f>'Profitability'!E13+B26*('Profitability'!E11*52*'Profitability'!E6)</f>
        <v/>
      </c>
      <c r="D26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</f>
        <v/>
      </c>
      <c r="E26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)/(('Profitability'!E11*52*'Profitability'!E6)*'Profitability'!E9)</f>
        <v/>
      </c>
      <c r="F26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6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7" ht="15" customHeight="1">
      <c r="B27" s="115" t="n">
        <v>0.05</v>
      </c>
      <c r="C27" s="156">
        <f>'Profitability'!E13+B27*('Profitability'!E11*52*'Profitability'!E6)</f>
        <v/>
      </c>
      <c r="D27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</f>
        <v/>
      </c>
      <c r="E27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)/(('Profitability'!E11*52*'Profitability'!E6)*'Profitability'!E9)</f>
        <v/>
      </c>
      <c r="F27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7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8" ht="15" customHeight="1">
      <c r="B28" s="115" t="n">
        <v>0.055</v>
      </c>
      <c r="C28" s="156">
        <f>'Profitability'!E13+B28*('Profitability'!E11*52*'Profitability'!E6)</f>
        <v/>
      </c>
      <c r="D28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</f>
        <v/>
      </c>
      <c r="E28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)/(('Profitability'!E11*52*'Profitability'!E6)*'Profitability'!E9)</f>
        <v/>
      </c>
      <c r="F28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8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9" ht="15" customHeight="1">
      <c r="B29" s="115" t="n">
        <v>0.06</v>
      </c>
      <c r="C29" s="156">
        <f>'Profitability'!E13+B29*('Profitability'!E11*52*'Profitability'!E6)</f>
        <v/>
      </c>
      <c r="D29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</f>
        <v/>
      </c>
      <c r="E29" s="154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)/(('Profitability'!E11*52*'Profitability'!E6)*'Profitability'!E9)</f>
        <v/>
      </c>
      <c r="F29" s="155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9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</sheetData>
  <mergeCells count="10">
    <mergeCell ref="D13:F13"/>
    <mergeCell ref="D11:F11"/>
    <mergeCell ref="B2:F2"/>
    <mergeCell ref="B15:F15"/>
    <mergeCell ref="B3:F3"/>
    <mergeCell ref="B5:F5"/>
    <mergeCell ref="D12:F12"/>
    <mergeCell ref="D9:F9"/>
    <mergeCell ref="B8:F8"/>
    <mergeCell ref="D10:F10"/>
  </mergeCells>
  <conditionalFormatting sqref="F17:F29">
    <cfRule type="expression" priority="1" dxfId="10">
      <formula>F17="yes"</formula>
    </cfRule>
    <cfRule type="expression" priority="2" dxfId="11">
      <formula>F17="no"</formula>
    </cfRule>
  </conditionalFormatting>
  <conditionalFormatting sqref="E17:E29">
    <cfRule type="expression" priority="3" dxfId="5">
      <formula>E17&lt;C6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2026-06-25T18:44:02Z</dcterms:created>
  <dcterms:modified xsi:type="dcterms:W3CDTF">2026-07-09T18:59:42Z</dcterms:modified>
</cp:coreProperties>
</file>