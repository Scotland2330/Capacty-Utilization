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ty Li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A6477"/>
      <sz val="10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b val="1"/>
      <color rgb="00101A30"/>
      <sz val="12"/>
    </font>
    <font>
      <name val="Calibri"/>
      <color rgb="007A8499"/>
      <sz val="10"/>
    </font>
    <font>
      <name val="Calibri"/>
      <color rgb="007A8499"/>
      <sz val="9.5"/>
    </font>
    <font>
      <name val="Calibri"/>
      <color rgb="001B2A4A"/>
      <sz val="11"/>
    </font>
    <font>
      <name val="Calibri"/>
      <b val="1"/>
      <color rgb="00101A30"/>
      <sz val="22"/>
    </font>
    <font>
      <name val="Calibri"/>
      <i val="1"/>
      <color rgb="007A8499"/>
      <sz val="9.5"/>
    </font>
    <font>
      <name val="Calibri"/>
      <b val="1"/>
      <color rgb="00FFFFFF"/>
      <sz val="9.5"/>
    </font>
    <font>
      <name val="Calibri"/>
      <b val="1"/>
      <color rgb="001B2A4A"/>
      <sz val="10"/>
    </font>
    <font>
      <name val="Calibri"/>
      <color rgb="0097A0B3"/>
      <sz val="11"/>
    </font>
    <font>
      <name val="Calibri"/>
      <color rgb="001B2A4A"/>
      <sz val="10"/>
    </font>
    <font>
      <name val="Calibri"/>
      <color rgb="009C7415"/>
      <sz val="11"/>
    </font>
  </fonts>
  <fills count="7">
    <fill>
      <patternFill/>
    </fill>
    <fill>
      <patternFill patternType="gray125"/>
    </fill>
    <fill>
      <patternFill patternType="solid">
        <fgColor rgb="00101A30"/>
      </patternFill>
    </fill>
    <fill>
      <patternFill patternType="solid">
        <fgColor rgb="001B2A4A"/>
      </patternFill>
    </fill>
    <fill>
      <patternFill patternType="solid">
        <fgColor rgb="00FFF3C4"/>
      </patternFill>
    </fill>
    <fill>
      <patternFill patternType="solid">
        <fgColor rgb="00C8961E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C2CAD8"/>
      </left>
      <right style="thin">
        <color rgb="00C2CAD8"/>
      </right>
      <top style="thin">
        <color rgb="00C2CAD8"/>
      </top>
      <bottom style="thin">
        <color rgb="00C2CAD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5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9" fontId="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B3402E"/>
        <sz val="22"/>
      </font>
      <fill>
        <patternFill patternType="solid">
          <fgColor rgb="00F4D8D1"/>
        </patternFill>
      </fill>
    </dxf>
    <dxf>
      <font>
        <b val="1"/>
        <color rgb="002F7D5B"/>
        <sz val="22"/>
      </font>
      <fill>
        <patternFill patternType="solid">
          <fgColor rgb="00D9ECE2"/>
        </patternFill>
      </fill>
    </dxf>
    <dxf>
      <font>
        <b val="1"/>
        <color rgb="00B9831A"/>
        <sz val="22"/>
      </font>
      <fill>
        <patternFill patternType="solid">
          <fgColor rgb="00FBEC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Open cases vs. comfortable capacity</a:t>
            </a:r>
          </a:p>
        </rich>
      </tx>
    </title>
    <plotArea>
      <lineChart>
        <grouping val="standard"/>
        <ser>
          <idx val="0"/>
          <order val="0"/>
          <tx>
            <strRef>
              <f>'Capacity Lite'!F28</f>
            </strRef>
          </tx>
          <spPr>
            <a:ln w="28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Lite'!$B$29:$B$41</f>
            </numRef>
          </cat>
          <val>
            <numRef>
              <f>'Capacity Lite'!$F$29:$F$41</f>
            </numRef>
          </val>
        </ser>
        <ser>
          <idx val="1"/>
          <order val="1"/>
          <tx>
            <strRef>
              <f>'Capacity Lite'!I28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Lite'!$B$29:$B$41</f>
            </numRef>
          </cat>
          <val>
            <numRef>
              <f>'Capacity Lite'!$I$29:$I$41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8961E"/>
    <outlinePr summaryBelow="1" summaryRight="1"/>
    <pageSetUpPr/>
  </sheetPr>
  <dimension ref="B2:I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" customWidth="1" min="3" max="3"/>
    <col width="3" customWidth="1" min="4" max="4"/>
    <col width="14" customWidth="1" min="5" max="5"/>
    <col width="22" customWidth="1" min="6" max="6"/>
    <col width="13" customWidth="1" min="7" max="7"/>
    <col width="13" customWidth="1" min="8" max="8"/>
    <col width="16" customWidth="1" min="9" max="9"/>
    <col width="2" customWidth="1" min="10" max="10"/>
  </cols>
  <sheetData>
    <row r="2" ht="34" customHeight="1">
      <c r="B2" s="1" t="inlineStr">
        <is>
          <t>CAPACITY LITE  ·  Tax Resolution</t>
        </is>
      </c>
    </row>
    <row r="3">
      <c r="B3" s="2" t="inlineStr">
        <is>
          <t>Simple case-load capacity for the growth stage. Edit the six yellow cells — everything else recalculates.</t>
        </is>
      </c>
    </row>
    <row r="5" ht="20" customHeight="1">
      <c r="B5" s="3" t="inlineStr">
        <is>
          <t xml:space="preserve">  INPUTS  —  EDIT THE YELLOW CELLS</t>
        </is>
      </c>
    </row>
    <row r="6" ht="26" customHeight="1">
      <c r="B6" s="4" t="inlineStr">
        <is>
          <t xml:space="preserve">  Number of tax pros (FTE)</t>
        </is>
      </c>
      <c r="E6" s="5" t="n">
        <v>5</v>
      </c>
      <c r="F6" s="6" t="inlineStr">
        <is>
          <t>people   —   How many full-time-equivalent case workers you have.</t>
        </is>
      </c>
    </row>
    <row r="7" ht="26" customHeight="1">
      <c r="B7" s="4" t="inlineStr">
        <is>
          <t xml:space="preserve">  Max active cases per pro</t>
        </is>
      </c>
      <c r="E7" s="5" t="n">
        <v>28</v>
      </c>
      <c r="F7" s="6" t="inlineStr">
        <is>
          <t>cases   —   Open cases one pro can comfortably carry at once (most sit waiting on the IRS).</t>
        </is>
      </c>
    </row>
    <row r="8" ht="26" customHeight="1">
      <c r="B8" s="4" t="inlineStr">
        <is>
          <t xml:space="preserve">  Current open cases</t>
        </is>
      </c>
      <c r="E8" s="5" t="n">
        <v>84</v>
      </c>
      <c r="F8" s="6" t="inlineStr">
        <is>
          <t>cases   —   Your active book right now, across all pros.</t>
        </is>
      </c>
    </row>
    <row r="9" ht="26" customHeight="1">
      <c r="B9" s="4" t="inlineStr">
        <is>
          <t xml:space="preserve">  New cases signed / month</t>
        </is>
      </c>
      <c r="E9" s="5" t="n">
        <v>18</v>
      </c>
      <c r="F9" s="6" t="inlineStr">
        <is>
          <t>cases   —   Average new engagements you take on each month.</t>
        </is>
      </c>
    </row>
    <row r="10" ht="26" customHeight="1">
      <c r="B10" s="4" t="inlineStr">
        <is>
          <t xml:space="preserve">  Avg case lifespan (months open)</t>
        </is>
      </c>
      <c r="E10" s="7" t="n">
        <v>8</v>
      </c>
      <c r="F10" s="6" t="inlineStr">
        <is>
          <t>months   —   How long a typical case stays open start-to-close — captures IRS wait time.</t>
        </is>
      </c>
    </row>
    <row r="11" ht="26" customHeight="1">
      <c r="B11" s="4" t="inlineStr">
        <is>
          <t xml:space="preserve">  Comfort ceiling (% of max)</t>
        </is>
      </c>
      <c r="E11" s="8" t="n">
        <v>0.85</v>
      </c>
      <c r="F11" s="6" t="inlineStr">
        <is>
          <t>%   —   Utilization you don't want to exceed. Above this = stretched. Default 85%.</t>
        </is>
      </c>
    </row>
    <row r="13" ht="20" customHeight="1">
      <c r="B13" s="9" t="inlineStr">
        <is>
          <t xml:space="preserve">  RESULTS</t>
        </is>
      </c>
    </row>
    <row r="14" ht="22" customHeight="1">
      <c r="B14" s="10" t="inlineStr">
        <is>
          <t xml:space="preserve">  Total case-load capacity</t>
        </is>
      </c>
      <c r="E14" s="11">
        <f>E6*E7</f>
        <v/>
      </c>
      <c r="F14" s="12" t="inlineStr">
        <is>
          <t>cases   ·   pros × max per pro</t>
        </is>
      </c>
    </row>
    <row r="15" ht="22" customHeight="1">
      <c r="B15" s="10" t="inlineStr">
        <is>
          <t xml:space="preserve">  Comfortable capacity (at ceiling)</t>
        </is>
      </c>
      <c r="E15" s="11">
        <f>E14*E11</f>
        <v/>
      </c>
      <c r="F15" s="12" t="inlineStr">
        <is>
          <t>cases   ·   total × comfort ceiling</t>
        </is>
      </c>
    </row>
    <row r="16" ht="22" customHeight="1">
      <c r="B16" s="10" t="inlineStr">
        <is>
          <t xml:space="preserve">  Current utilization</t>
        </is>
      </c>
      <c r="E16" s="13">
        <f>E8/E14</f>
        <v/>
      </c>
      <c r="F16" s="12" t="inlineStr">
        <is>
          <t>of total   ·   open ÷ total capacity</t>
        </is>
      </c>
    </row>
    <row r="17" ht="22" customHeight="1">
      <c r="B17" s="10" t="inlineStr">
        <is>
          <t xml:space="preserve">  Headroom now (to comfort ceiling)</t>
        </is>
      </c>
      <c r="E17" s="11">
        <f>E15-E8</f>
        <v/>
      </c>
      <c r="F17" s="12" t="inlineStr">
        <is>
          <t>cases   ·   more cases you can safely take</t>
        </is>
      </c>
    </row>
    <row r="18" ht="22" customHeight="1">
      <c r="B18" s="10" t="inlineStr">
        <is>
          <t xml:space="preserve">  Cases closing / month</t>
        </is>
      </c>
      <c r="E18" s="11">
        <f>E8/E10</f>
        <v/>
      </c>
      <c r="F18" s="12" t="inlineStr">
        <is>
          <t>cases   ·   ≈ open ÷ lifespan</t>
        </is>
      </c>
    </row>
    <row r="19" ht="22" customHeight="1">
      <c r="B19" s="10" t="inlineStr">
        <is>
          <t xml:space="preserve">  Net case growth / month</t>
        </is>
      </c>
      <c r="E19" s="11">
        <f>E9-E18</f>
        <v/>
      </c>
      <c r="F19" s="12" t="inlineStr">
        <is>
          <t>cases   ·   new signed − closing</t>
        </is>
      </c>
    </row>
    <row r="20" ht="22" customHeight="1">
      <c r="B20" s="10" t="inlineStr">
        <is>
          <t xml:space="preserve">  Months until comfortably full</t>
        </is>
      </c>
      <c r="E20" s="11">
        <f>IF(E19&lt;=0,"stable / shrinking",IF(E17&lt;=0,"already over",E17/E19))</f>
        <v/>
      </c>
      <c r="F20" s="12" t="inlineStr">
        <is>
          <t>months   ·   headroom ÷ net growth</t>
        </is>
      </c>
    </row>
    <row r="22" ht="30" customHeight="1">
      <c r="B22" s="14">
        <f>IF(E16&gt;=E11,"ADD A PRO  /  SLOW INTAKE",IF(E16&lt;=E11-0.2,"TAKE ON MORE CASES","HOLD — WELL MATCHED"))</f>
        <v/>
      </c>
    </row>
    <row r="23" ht="22" customHeight="1"/>
    <row r="24"/>
    <row r="25">
      <c r="B25" s="15" t="inlineStr">
        <is>
          <t xml:space="preserve">  Logic: above the comfort ceiling → add capacity; more than 20 points below it → take more; in between → hold.</t>
        </is>
      </c>
    </row>
    <row r="27" ht="20" customHeight="1">
      <c r="B27" s="3" t="inlineStr">
        <is>
          <t xml:space="preserve">  12-MONTH PROJECTION  (assumes intake &amp; lifespan hold steady)</t>
        </is>
      </c>
    </row>
    <row r="28" ht="28" customHeight="1">
      <c r="B28" s="16" t="inlineStr">
        <is>
          <t>Month</t>
        </is>
      </c>
      <c r="C28" s="16" t="inlineStr">
        <is>
          <t>Open (start)</t>
        </is>
      </c>
      <c r="D28" s="16" t="inlineStr">
        <is>
          <t>New signed</t>
        </is>
      </c>
      <c r="E28" s="16" t="inlineStr">
        <is>
          <t>Closed</t>
        </is>
      </c>
      <c r="F28" s="16" t="inlineStr">
        <is>
          <t>Open (end)</t>
        </is>
      </c>
      <c r="G28" s="16" t="inlineStr">
        <is>
          <t>Utilization</t>
        </is>
      </c>
      <c r="H28" s="16" t="inlineStr">
        <is>
          <t>Status</t>
        </is>
      </c>
      <c r="I28" s="16" t="inlineStr">
        <is>
          <t>Comfort line</t>
        </is>
      </c>
    </row>
    <row r="29">
      <c r="B29" s="17" t="inlineStr">
        <is>
          <t>Now</t>
        </is>
      </c>
      <c r="C29" s="18" t="inlineStr">
        <is>
          <t>—</t>
        </is>
      </c>
      <c r="D29" s="18" t="inlineStr">
        <is>
          <t>—</t>
        </is>
      </c>
      <c r="E29" s="18" t="inlineStr">
        <is>
          <t>—</t>
        </is>
      </c>
      <c r="F29" s="19">
        <f>E8</f>
        <v/>
      </c>
      <c r="G29" s="20">
        <f>F29/$E$14</f>
        <v/>
      </c>
      <c r="H29" s="21">
        <f>IF(G29&gt;=$E$11,"Add pro",IF(G29&lt;=$E$11-0.2,"Take more","Hold"))</f>
        <v/>
      </c>
      <c r="I29" s="22">
        <f>$E$15</f>
        <v/>
      </c>
    </row>
    <row r="30">
      <c r="B30" s="21" t="inlineStr">
        <is>
          <t>Mo 1</t>
        </is>
      </c>
      <c r="C30" s="23">
        <f>F29</f>
        <v/>
      </c>
      <c r="D30" s="23">
        <f>$E$9</f>
        <v/>
      </c>
      <c r="E30" s="23">
        <f>C30/$E$10</f>
        <v/>
      </c>
      <c r="F30" s="19">
        <f>MAX(0,C30+D30-E30)</f>
        <v/>
      </c>
      <c r="G30" s="20">
        <f>F30/$E$14</f>
        <v/>
      </c>
      <c r="H30" s="21">
        <f>IF(G30&gt;=$E$11,"Add pro",IF(G30&lt;=$E$11-0.2,"Take more","Hold"))</f>
        <v/>
      </c>
      <c r="I30" s="22">
        <f>$E$15</f>
        <v/>
      </c>
    </row>
    <row r="31">
      <c r="B31" s="21" t="inlineStr">
        <is>
          <t>Mo 2</t>
        </is>
      </c>
      <c r="C31" s="23">
        <f>F30</f>
        <v/>
      </c>
      <c r="D31" s="23">
        <f>$E$9</f>
        <v/>
      </c>
      <c r="E31" s="23">
        <f>C31/$E$10</f>
        <v/>
      </c>
      <c r="F31" s="19">
        <f>MAX(0,C31+D31-E31)</f>
        <v/>
      </c>
      <c r="G31" s="20">
        <f>F31/$E$14</f>
        <v/>
      </c>
      <c r="H31" s="21">
        <f>IF(G31&gt;=$E$11,"Add pro",IF(G31&lt;=$E$11-0.2,"Take more","Hold"))</f>
        <v/>
      </c>
      <c r="I31" s="22">
        <f>$E$15</f>
        <v/>
      </c>
    </row>
    <row r="32">
      <c r="B32" s="21" t="inlineStr">
        <is>
          <t>Mo 3</t>
        </is>
      </c>
      <c r="C32" s="23">
        <f>F31</f>
        <v/>
      </c>
      <c r="D32" s="23">
        <f>$E$9</f>
        <v/>
      </c>
      <c r="E32" s="23">
        <f>C32/$E$10</f>
        <v/>
      </c>
      <c r="F32" s="19">
        <f>MAX(0,C32+D32-E32)</f>
        <v/>
      </c>
      <c r="G32" s="20">
        <f>F32/$E$14</f>
        <v/>
      </c>
      <c r="H32" s="21">
        <f>IF(G32&gt;=$E$11,"Add pro",IF(G32&lt;=$E$11-0.2,"Take more","Hold"))</f>
        <v/>
      </c>
      <c r="I32" s="22">
        <f>$E$15</f>
        <v/>
      </c>
    </row>
    <row r="33">
      <c r="B33" s="21" t="inlineStr">
        <is>
          <t>Mo 4</t>
        </is>
      </c>
      <c r="C33" s="23">
        <f>F32</f>
        <v/>
      </c>
      <c r="D33" s="23">
        <f>$E$9</f>
        <v/>
      </c>
      <c r="E33" s="23">
        <f>C33/$E$10</f>
        <v/>
      </c>
      <c r="F33" s="19">
        <f>MAX(0,C33+D33-E33)</f>
        <v/>
      </c>
      <c r="G33" s="20">
        <f>F33/$E$14</f>
        <v/>
      </c>
      <c r="H33" s="21">
        <f>IF(G33&gt;=$E$11,"Add pro",IF(G33&lt;=$E$11-0.2,"Take more","Hold"))</f>
        <v/>
      </c>
      <c r="I33" s="22">
        <f>$E$15</f>
        <v/>
      </c>
    </row>
    <row r="34">
      <c r="B34" s="21" t="inlineStr">
        <is>
          <t>Mo 5</t>
        </is>
      </c>
      <c r="C34" s="23">
        <f>F33</f>
        <v/>
      </c>
      <c r="D34" s="23">
        <f>$E$9</f>
        <v/>
      </c>
      <c r="E34" s="23">
        <f>C34/$E$10</f>
        <v/>
      </c>
      <c r="F34" s="19">
        <f>MAX(0,C34+D34-E34)</f>
        <v/>
      </c>
      <c r="G34" s="20">
        <f>F34/$E$14</f>
        <v/>
      </c>
      <c r="H34" s="21">
        <f>IF(G34&gt;=$E$11,"Add pro",IF(G34&lt;=$E$11-0.2,"Take more","Hold"))</f>
        <v/>
      </c>
      <c r="I34" s="22">
        <f>$E$15</f>
        <v/>
      </c>
    </row>
    <row r="35">
      <c r="B35" s="21" t="inlineStr">
        <is>
          <t>Mo 6</t>
        </is>
      </c>
      <c r="C35" s="23">
        <f>F34</f>
        <v/>
      </c>
      <c r="D35" s="23">
        <f>$E$9</f>
        <v/>
      </c>
      <c r="E35" s="23">
        <f>C35/$E$10</f>
        <v/>
      </c>
      <c r="F35" s="19">
        <f>MAX(0,C35+D35-E35)</f>
        <v/>
      </c>
      <c r="G35" s="20">
        <f>F35/$E$14</f>
        <v/>
      </c>
      <c r="H35" s="21">
        <f>IF(G35&gt;=$E$11,"Add pro",IF(G35&lt;=$E$11-0.2,"Take more","Hold"))</f>
        <v/>
      </c>
      <c r="I35" s="22">
        <f>$E$15</f>
        <v/>
      </c>
    </row>
    <row r="36">
      <c r="B36" s="21" t="inlineStr">
        <is>
          <t>Mo 7</t>
        </is>
      </c>
      <c r="C36" s="23">
        <f>F35</f>
        <v/>
      </c>
      <c r="D36" s="23">
        <f>$E$9</f>
        <v/>
      </c>
      <c r="E36" s="23">
        <f>C36/$E$10</f>
        <v/>
      </c>
      <c r="F36" s="19">
        <f>MAX(0,C36+D36-E36)</f>
        <v/>
      </c>
      <c r="G36" s="20">
        <f>F36/$E$14</f>
        <v/>
      </c>
      <c r="H36" s="21">
        <f>IF(G36&gt;=$E$11,"Add pro",IF(G36&lt;=$E$11-0.2,"Take more","Hold"))</f>
        <v/>
      </c>
      <c r="I36" s="22">
        <f>$E$15</f>
        <v/>
      </c>
    </row>
    <row r="37">
      <c r="B37" s="21" t="inlineStr">
        <is>
          <t>Mo 8</t>
        </is>
      </c>
      <c r="C37" s="23">
        <f>F36</f>
        <v/>
      </c>
      <c r="D37" s="23">
        <f>$E$9</f>
        <v/>
      </c>
      <c r="E37" s="23">
        <f>C37/$E$10</f>
        <v/>
      </c>
      <c r="F37" s="19">
        <f>MAX(0,C37+D37-E37)</f>
        <v/>
      </c>
      <c r="G37" s="20">
        <f>F37/$E$14</f>
        <v/>
      </c>
      <c r="H37" s="21">
        <f>IF(G37&gt;=$E$11,"Add pro",IF(G37&lt;=$E$11-0.2,"Take more","Hold"))</f>
        <v/>
      </c>
      <c r="I37" s="22">
        <f>$E$15</f>
        <v/>
      </c>
    </row>
    <row r="38">
      <c r="B38" s="21" t="inlineStr">
        <is>
          <t>Mo 9</t>
        </is>
      </c>
      <c r="C38" s="23">
        <f>F37</f>
        <v/>
      </c>
      <c r="D38" s="23">
        <f>$E$9</f>
        <v/>
      </c>
      <c r="E38" s="23">
        <f>C38/$E$10</f>
        <v/>
      </c>
      <c r="F38" s="19">
        <f>MAX(0,C38+D38-E38)</f>
        <v/>
      </c>
      <c r="G38" s="20">
        <f>F38/$E$14</f>
        <v/>
      </c>
      <c r="H38" s="21">
        <f>IF(G38&gt;=$E$11,"Add pro",IF(G38&lt;=$E$11-0.2,"Take more","Hold"))</f>
        <v/>
      </c>
      <c r="I38" s="22">
        <f>$E$15</f>
        <v/>
      </c>
    </row>
    <row r="39">
      <c r="B39" s="21" t="inlineStr">
        <is>
          <t>Mo 10</t>
        </is>
      </c>
      <c r="C39" s="23">
        <f>F38</f>
        <v/>
      </c>
      <c r="D39" s="23">
        <f>$E$9</f>
        <v/>
      </c>
      <c r="E39" s="23">
        <f>C39/$E$10</f>
        <v/>
      </c>
      <c r="F39" s="19">
        <f>MAX(0,C39+D39-E39)</f>
        <v/>
      </c>
      <c r="G39" s="20">
        <f>F39/$E$14</f>
        <v/>
      </c>
      <c r="H39" s="21">
        <f>IF(G39&gt;=$E$11,"Add pro",IF(G39&lt;=$E$11-0.2,"Take more","Hold"))</f>
        <v/>
      </c>
      <c r="I39" s="22">
        <f>$E$15</f>
        <v/>
      </c>
    </row>
    <row r="40">
      <c r="B40" s="21" t="inlineStr">
        <is>
          <t>Mo 11</t>
        </is>
      </c>
      <c r="C40" s="23">
        <f>F39</f>
        <v/>
      </c>
      <c r="D40" s="23">
        <f>$E$9</f>
        <v/>
      </c>
      <c r="E40" s="23">
        <f>C40/$E$10</f>
        <v/>
      </c>
      <c r="F40" s="19">
        <f>MAX(0,C40+D40-E40)</f>
        <v/>
      </c>
      <c r="G40" s="20">
        <f>F40/$E$14</f>
        <v/>
      </c>
      <c r="H40" s="21">
        <f>IF(G40&gt;=$E$11,"Add pro",IF(G40&lt;=$E$11-0.2,"Take more","Hold"))</f>
        <v/>
      </c>
      <c r="I40" s="22">
        <f>$E$15</f>
        <v/>
      </c>
    </row>
    <row r="41">
      <c r="B41" s="21" t="inlineStr">
        <is>
          <t>Mo 12</t>
        </is>
      </c>
      <c r="C41" s="23">
        <f>F40</f>
        <v/>
      </c>
      <c r="D41" s="23">
        <f>$E$9</f>
        <v/>
      </c>
      <c r="E41" s="23">
        <f>C41/$E$10</f>
        <v/>
      </c>
      <c r="F41" s="19">
        <f>MAX(0,C41+D41-E41)</f>
        <v/>
      </c>
      <c r="G41" s="20">
        <f>F41/$E$14</f>
        <v/>
      </c>
      <c r="H41" s="21">
        <f>IF(G41&gt;=$E$11,"Add pro",IF(G41&lt;=$E$11-0.2,"Take more","Hold"))</f>
        <v/>
      </c>
      <c r="I41" s="22">
        <f>$E$15</f>
        <v/>
      </c>
    </row>
  </sheetData>
  <mergeCells count="20">
    <mergeCell ref="F9:I9"/>
    <mergeCell ref="B25:I25"/>
    <mergeCell ref="B3:I3"/>
    <mergeCell ref="B22:I24"/>
    <mergeCell ref="B27:I27"/>
    <mergeCell ref="F14:I14"/>
    <mergeCell ref="B2:I2"/>
    <mergeCell ref="F11:I11"/>
    <mergeCell ref="F16:I16"/>
    <mergeCell ref="F19:I19"/>
    <mergeCell ref="F10:I10"/>
    <mergeCell ref="F6:I6"/>
    <mergeCell ref="B13:I13"/>
    <mergeCell ref="F7:I7"/>
    <mergeCell ref="F15:I15"/>
    <mergeCell ref="F20:I20"/>
    <mergeCell ref="F18:I18"/>
    <mergeCell ref="F17:I17"/>
    <mergeCell ref="F8:I8"/>
    <mergeCell ref="B5:I5"/>
  </mergeCells>
  <conditionalFormatting sqref="B22">
    <cfRule type="expression" priority="1" dxfId="0">
      <formula>ISNUMBER(SEARCH("ADD",B22))</formula>
    </cfRule>
    <cfRule type="expression" priority="2" dxfId="1">
      <formula>ISNUMBER(SEARCH("MORE",B22))</formula>
    </cfRule>
    <cfRule type="expression" priority="3" dxfId="2">
      <formula>ISNUMBER(SEARCH("HOLD",B22))</formula>
    </cfRule>
  </conditionalFormatting>
  <conditionalFormatting sqref="G29:G41">
    <cfRule type="colorScale" priority="4">
      <colorScale>
        <cfvo type="num" val="0"/>
        <cfvo type="num" val="0.7"/>
        <cfvo type="num" val="1"/>
        <color rgb="00D9ECE2"/>
        <color rgb="00FBECCB"/>
        <color rgb="00F4D8D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2026-06-18T17:12:31Z</dcterms:created>
  <dcterms:modified xsi:type="dcterms:W3CDTF">2026-06-18T17:12:31Z</dcterms:modified>
</cp:coreProperties>
</file>