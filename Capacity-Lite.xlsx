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Lite" sheetId="1" state="visible" r:id="rId1"/>
    <sheet name="Profitability" sheetId="2" state="visible" r:id="rId2"/>
    <sheet name="James — New Com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0.0%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A6477"/>
      <sz val="10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b val="1"/>
      <color rgb="00101A30"/>
      <sz val="12"/>
    </font>
    <font>
      <name val="Calibri"/>
      <color rgb="007A8499"/>
      <sz val="9.5"/>
    </font>
    <font>
      <name val="Calibri"/>
      <color rgb="001B2A4A"/>
      <sz val="11"/>
    </font>
    <font>
      <name val="Calibri"/>
      <b val="1"/>
      <color rgb="00101A30"/>
      <sz val="24"/>
    </font>
    <font>
      <name val="Calibri"/>
      <i val="1"/>
      <color rgb="007A8499"/>
      <sz val="9.5"/>
    </font>
    <font>
      <name val="Calibri"/>
      <b val="1"/>
      <color rgb="00FFFFFF"/>
      <sz val="9.5"/>
    </font>
    <font>
      <name val="Calibri"/>
      <b val="1"/>
      <color rgb="001B2A4A"/>
      <sz val="10"/>
    </font>
    <font>
      <name val="Calibri"/>
      <color rgb="0097A0B3"/>
      <sz val="11"/>
    </font>
    <font>
      <name val="Calibri"/>
      <color rgb="001B2A4A"/>
      <sz val="10"/>
    </font>
    <font>
      <name val="Calibri"/>
      <color rgb="009C7415"/>
      <sz val="11"/>
    </font>
    <font>
      <name val="Calibri"/>
      <color rgb="00455064"/>
      <sz val="9.5"/>
    </font>
    <font>
      <name val="Calibri"/>
      <b val="1"/>
      <color rgb="00101A30"/>
      <sz val="11"/>
    </font>
    <font>
      <name val="Calibri"/>
      <color rgb="007A8499"/>
      <sz val="9"/>
    </font>
    <font>
      <name val="Calibri"/>
      <b val="1"/>
      <color rgb="00FFFFFF"/>
      <sz val="10"/>
    </font>
    <font>
      <name val="Calibri"/>
      <b val="1"/>
      <color rgb="00101A30"/>
      <sz val="10"/>
    </font>
    <font>
      <name val="Calibri"/>
      <color rgb="001B2A4A"/>
      <sz val="12"/>
    </font>
    <font>
      <name val="Calibri"/>
      <b val="1"/>
      <color rgb="001B2A4A"/>
      <sz val="12"/>
    </font>
    <font>
      <name val="Calibri"/>
      <b val="1"/>
      <color rgb="001B2A4A"/>
      <sz val="13"/>
    </font>
    <font>
      <name val="Calibri"/>
      <b val="1"/>
      <color rgb="00101A30"/>
      <sz val="14"/>
    </font>
    <font>
      <name val="Calibri"/>
      <b val="1"/>
      <color rgb="009C7415"/>
      <sz val="11"/>
    </font>
    <font>
      <b val="1"/>
      <color rgb="00101A30"/>
    </font>
  </fonts>
  <fills count="10">
    <fill>
      <patternFill/>
    </fill>
    <fill>
      <patternFill patternType="gray125"/>
    </fill>
    <fill>
      <patternFill patternType="solid">
        <fgColor rgb="00101A30"/>
      </patternFill>
    </fill>
    <fill>
      <patternFill patternType="solid">
        <fgColor rgb="001B2A4A"/>
      </patternFill>
    </fill>
    <fill>
      <patternFill patternType="solid">
        <fgColor rgb="00FFF3C4"/>
      </patternFill>
    </fill>
    <fill>
      <patternFill patternType="solid">
        <fgColor rgb="00DCE6F4"/>
      </patternFill>
    </fill>
    <fill>
      <patternFill patternType="solid">
        <fgColor rgb="00C8961E"/>
      </patternFill>
    </fill>
    <fill>
      <patternFill patternType="solid">
        <fgColor rgb="00F6F8FB"/>
      </patternFill>
    </fill>
    <fill>
      <patternFill patternType="solid">
        <fgColor rgb="00E7EBF2"/>
      </patternFill>
    </fill>
    <fill>
      <patternFill patternType="solid">
        <fgColor rgb="00FBECCB"/>
      </patternFill>
    </fill>
  </fills>
  <borders count="9">
    <border>
      <left/>
      <right/>
      <top/>
      <bottom/>
      <diagonal/>
    </border>
    <border>
      <left style="thin">
        <color rgb="00C2CAD8"/>
      </left>
      <right style="thin">
        <color rgb="00C2CAD8"/>
      </right>
      <top style="thin">
        <color rgb="00C2CAD8"/>
      </top>
      <bottom style="thin">
        <color rgb="00C2CAD8"/>
      </bottom>
    </border>
    <border>
      <left/>
      <right/>
      <top style="thin">
        <color rgb="00C2CAD8"/>
      </top>
      <bottom/>
      <diagonal/>
    </border>
    <border>
      <left style="thin">
        <color rgb="00C2CAD8"/>
      </left>
      <right/>
      <top/>
      <bottom/>
      <diagonal/>
    </border>
    <border>
      <left/>
      <right style="thin">
        <color rgb="00C2CAD8"/>
      </right>
      <top style="thin">
        <color rgb="00C2CAD8"/>
      </top>
      <bottom/>
      <diagonal/>
    </border>
    <border>
      <left/>
      <right style="thin">
        <color rgb="00C2CAD8"/>
      </right>
      <top/>
      <bottom/>
      <diagonal/>
    </border>
    <border>
      <left style="thin">
        <color rgb="00C2CAD8"/>
      </left>
      <right/>
      <top/>
      <bottom style="thin">
        <color rgb="00C2CAD8"/>
      </bottom>
      <diagonal/>
    </border>
    <border>
      <left/>
      <right/>
      <top/>
      <bottom style="thin">
        <color rgb="00C2CAD8"/>
      </bottom>
      <diagonal/>
    </border>
    <border>
      <left/>
      <right style="thin">
        <color rgb="00C2CAD8"/>
      </right>
      <top/>
      <bottom style="thin">
        <color rgb="00C2CAD8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9" fontId="5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1" fontId="5" fillId="7" borderId="1" applyAlignment="1" pivotButton="0" quotePrefix="0" xfId="0">
      <alignment horizontal="center" vertical="center"/>
    </xf>
    <xf numFmtId="9" fontId="5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65" fontId="16" fillId="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164" fontId="16" fillId="5" borderId="1" applyAlignment="1" pivotButton="0" quotePrefix="0" xfId="0">
      <alignment horizontal="center" vertical="center"/>
    </xf>
    <xf numFmtId="9" fontId="16" fillId="4" borderId="1" applyAlignment="1" pivotButton="0" quotePrefix="0" xfId="0">
      <alignment horizontal="center" vertical="center"/>
    </xf>
    <xf numFmtId="164" fontId="16" fillId="4" borderId="1" applyAlignment="1" pivotButton="0" quotePrefix="0" xfId="0">
      <alignment horizontal="center" vertical="center"/>
    </xf>
    <xf numFmtId="165" fontId="16" fillId="8" borderId="1" applyAlignment="1" pivotButton="0" quotePrefix="0" xfId="0">
      <alignment horizontal="center" vertical="center"/>
    </xf>
    <xf numFmtId="165" fontId="16" fillId="9" borderId="1" applyAlignment="1" pivotButton="0" quotePrefix="0" xfId="0">
      <alignment horizontal="center" vertical="center"/>
    </xf>
    <xf numFmtId="166" fontId="16" fillId="9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/>
    </xf>
    <xf numFmtId="165" fontId="16" fillId="4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18" fillId="2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5" fontId="4" fillId="7" borderId="1" applyAlignment="1" pivotButton="0" quotePrefix="0" xfId="0">
      <alignment horizontal="center" vertical="center"/>
    </xf>
    <xf numFmtId="9" fontId="4" fillId="7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5" fontId="22" fillId="9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5" fontId="4" fillId="8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6" fontId="4" fillId="9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165" fontId="24" fillId="0" borderId="1" applyAlignment="1" pivotButton="0" quotePrefix="0" xfId="0">
      <alignment horizontal="center" vertical="center"/>
    </xf>
    <xf numFmtId="164" fontId="25" fillId="4" borderId="1" applyAlignment="1" pivotButton="0" quotePrefix="0" xfId="0">
      <alignment horizontal="center" vertical="center"/>
    </xf>
    <xf numFmtId="165" fontId="25" fillId="4" borderId="1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7">
    <dxf>
      <font>
        <b val="1"/>
        <color rgb="00B3402E"/>
        <sz val="24"/>
      </font>
      <fill>
        <patternFill patternType="solid">
          <fgColor rgb="00F4D8D1"/>
        </patternFill>
      </fill>
    </dxf>
    <dxf>
      <font>
        <b val="1"/>
        <color rgb="002F7D5B"/>
        <sz val="24"/>
      </font>
      <fill>
        <patternFill patternType="solid">
          <fgColor rgb="00D9ECE2"/>
        </patternFill>
      </fill>
    </dxf>
    <dxf>
      <font>
        <b val="1"/>
        <color rgb="00B9831A"/>
        <sz val="24"/>
      </font>
      <fill>
        <patternFill patternType="solid">
          <fgColor rgb="00FBECCB"/>
        </patternFill>
      </fill>
    </dxf>
    <dxf>
      <font>
        <b val="1"/>
        <color rgb="002F7D5B"/>
        <sz val="14"/>
      </font>
      <fill>
        <patternFill patternType="solid">
          <fgColor rgb="00D9ECE2"/>
        </patternFill>
      </fill>
    </dxf>
    <dxf>
      <font>
        <b val="1"/>
        <color rgb="00B9831A"/>
        <sz val="14"/>
      </font>
      <fill>
        <patternFill patternType="solid">
          <fgColor rgb="00FBECCB"/>
        </patternFill>
      </fill>
    </dxf>
    <dxf>
      <font>
        <color rgb="00B3402E"/>
      </font>
    </dxf>
    <dxf>
      <font>
        <b val="1"/>
        <color rgb="002F7D5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book value vs. comfortable revenue capacity</a:t>
            </a:r>
          </a:p>
        </rich>
      </tx>
    </title>
    <plotArea>
      <lineChart>
        <grouping val="standard"/>
        <ser>
          <idx val="0"/>
          <order val="0"/>
          <tx>
            <strRef>
              <f>'Capacity Lite'!G38</f>
            </strRef>
          </tx>
          <spPr>
            <a:ln w="28000">
              <a:solidFill>
                <a:srgbClr val="C896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'Capacity Lite'!$B$39:$B$51</f>
            </numRef>
          </cat>
          <val>
            <numRef>
              <f>'Capacity Lite'!$G$39:$G$51</f>
            </numRef>
          </val>
        </ser>
        <ser>
          <idx val="1"/>
          <order val="1"/>
          <tx>
            <strRef>
              <f>'Capacity Lite'!J38</f>
            </strRef>
          </tx>
          <spPr>
            <a:ln>
              <a:solidFill>
                <a:srgbClr val="1B2A4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'Capacity Lite'!$B$39:$B$51</f>
            </numRef>
          </cat>
          <val>
            <numRef>
              <f>'Capacity Lite'!$J$39:$J$51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Active book value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James's annual pay: OLD (flat salary) vs NEW (base + growth commission)</a:t>
            </a:r>
          </a:p>
        </rich>
      </tx>
    </title>
    <plotArea>
      <lineChart>
        <grouping val="standard"/>
        <ser>
          <idx val="0"/>
          <order val="0"/>
          <tx>
            <strRef>
              <f>'James — New Comp'!D11</f>
            </strRef>
          </tx>
          <spPr>
            <a:ln w="26000">
              <a:solidFill>
                <a:srgbClr val="1B2A4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'James — New Comp'!$B$12:$B$28</f>
            </numRef>
          </cat>
          <val>
            <numRef>
              <f>'James — New Comp'!$D$12:$D$28</f>
            </numRef>
          </val>
        </ser>
        <ser>
          <idx val="1"/>
          <order val="1"/>
          <tx>
            <strRef>
              <f>'James — New Comp'!E11</f>
            </strRef>
          </tx>
          <spPr>
            <a:ln w="34000">
              <a:solidFill>
                <a:srgbClr val="C8961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'James — New Comp'!$B$12:$B$28</f>
            </numRef>
          </cat>
          <val>
            <numRef>
              <f>'James — New Comp'!$E$12:$E$28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New cases signed per week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James pay ($/yr)</a:t>
                </a:r>
              </a:p>
            </rich>
          </tx>
        </title>
        <numFmt formatCode="&quot;$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720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8961E"/>
    <outlinePr summaryBelow="1" summaryRight="1"/>
    <pageSetUpPr/>
  </sheetPr>
  <dimension ref="B2:J6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5" customWidth="1" min="5" max="5"/>
    <col width="13" customWidth="1" min="6" max="6"/>
    <col width="15" customWidth="1" min="7" max="7"/>
    <col width="12" customWidth="1" min="8" max="8"/>
    <col width="13" customWidth="1" min="9" max="9"/>
    <col width="15" customWidth="1" min="10" max="10"/>
    <col width="2" customWidth="1" min="11" max="11"/>
  </cols>
  <sheetData>
    <row r="2" ht="34" customHeight="1">
      <c r="B2" s="1" t="inlineStr">
        <is>
          <t>CAPACITY LITE  ·  Tax Resolution  ·  Revenue-Based (v2)</t>
        </is>
      </c>
    </row>
    <row r="3" ht="16" customHeight="1">
      <c r="B3" s="2" t="inlineStr">
        <is>
          <t>Capacity is a REVENUE ceiling per case manager; case counts are derived. Edit the yellow (team/data) and blue (David's model definitions) cells.  Model owner: David.</t>
        </is>
      </c>
    </row>
    <row r="5" ht="20" customHeight="1">
      <c r="B5" s="3" t="inlineStr">
        <is>
          <t xml:space="preserve">  INPUTS</t>
        </is>
      </c>
    </row>
    <row r="6" ht="24" customHeight="1">
      <c r="B6" s="4" t="inlineStr">
        <is>
          <t xml:space="preserve">  Full-capacity case managers (FTE)</t>
        </is>
      </c>
      <c r="E6" s="5" t="n">
        <v>4</v>
      </c>
      <c r="F6" s="6" t="inlineStr">
        <is>
          <t>people   —   Ramped case managers at full capacity.</t>
        </is>
      </c>
    </row>
    <row r="7" ht="24" customHeight="1">
      <c r="B7" s="4" t="inlineStr">
        <is>
          <t xml:space="preserve">  Case managers in training (count)</t>
        </is>
      </c>
      <c r="E7" s="7" t="n">
        <v>1</v>
      </c>
      <c r="F7" s="6" t="inlineStr">
        <is>
          <t>people   —   Each counts as 0.5 FTE until ramped.</t>
        </is>
      </c>
    </row>
    <row r="8" ht="24" customHeight="1">
      <c r="B8" s="4" t="inlineStr">
        <is>
          <t xml:space="preserve">  Current active (open) cases</t>
        </is>
      </c>
      <c r="E8" s="7" t="n">
        <v>350</v>
      </c>
      <c r="F8" s="6" t="inlineStr">
        <is>
          <t>cases   —   Your open book right now, all managers.</t>
        </is>
      </c>
    </row>
    <row r="9" ht="24" customHeight="1">
      <c r="B9" s="4" t="inlineStr">
        <is>
          <t xml:space="preserve">  New cases signed / week</t>
        </is>
      </c>
      <c r="E9" s="7" t="n">
        <v>25</v>
      </c>
      <c r="F9" s="6" t="inlineStr">
        <is>
          <t>cases/wk   —   Sales goal: 3 reps + James @ 6 follow-ups/day.</t>
        </is>
      </c>
    </row>
    <row r="10" ht="24" customHeight="1">
      <c r="B10" s="4" t="inlineStr">
        <is>
          <t xml:space="preserve">  Revenue capacity per manager ($/yr)</t>
        </is>
      </c>
      <c r="E10" s="8" t="n">
        <v>1000000</v>
      </c>
      <c r="F10" s="6" t="inlineStr">
        <is>
          <t>per mgr   —   David: 'full capacity' = ~$1M active book.</t>
        </is>
      </c>
    </row>
    <row r="11" ht="24" customHeight="1">
      <c r="B11" s="4" t="inlineStr">
        <is>
          <t xml:space="preserve">  Average case value ($)</t>
        </is>
      </c>
      <c r="E11" s="8" t="n">
        <v>7000</v>
      </c>
      <c r="F11" s="6" t="inlineStr">
        <is>
          <t>per case   —   David.</t>
        </is>
      </c>
    </row>
    <row r="12" ht="24" customHeight="1">
      <c r="B12" s="4" t="inlineStr">
        <is>
          <t xml:space="preserve">  Average case lifespan (months)</t>
        </is>
      </c>
      <c r="E12" s="9" t="n">
        <v>12</v>
      </c>
      <c r="F12" s="6" t="inlineStr">
        <is>
          <t>months   —   David's estimate.</t>
        </is>
      </c>
    </row>
    <row r="13" ht="24" customHeight="1">
      <c r="B13" s="4" t="inlineStr">
        <is>
          <t xml:space="preserve">  Comfort ceiling (% of capacity)</t>
        </is>
      </c>
      <c r="E13" s="10" t="n">
        <v>0.85</v>
      </c>
      <c r="F13" s="6" t="inlineStr">
        <is>
          <t>of cap   —   Utilization you don't want to exceed.</t>
        </is>
      </c>
    </row>
    <row r="14" ht="20" customHeight="1">
      <c r="B14" s="11" t="inlineStr">
        <is>
          <t xml:space="preserve">  DERIVED CAPACITY</t>
        </is>
      </c>
    </row>
    <row r="15" ht="22" customHeight="1">
      <c r="B15" s="12" t="inlineStr">
        <is>
          <t xml:space="preserve">  Effective case managers (FTE)</t>
        </is>
      </c>
      <c r="E15" s="13">
        <f>E6+0.5*E7</f>
        <v/>
      </c>
      <c r="F15" s="14" t="inlineStr">
        <is>
          <t xml:space="preserve">   full + ½ × trainees</t>
        </is>
      </c>
    </row>
    <row r="16" ht="22" customHeight="1">
      <c r="B16" s="12" t="inlineStr">
        <is>
          <t xml:space="preserve">  Max active cases per manager</t>
        </is>
      </c>
      <c r="E16" s="13">
        <f>E10/E11</f>
        <v/>
      </c>
      <c r="F16" s="14" t="inlineStr">
        <is>
          <t xml:space="preserve">   revenue ceiling ÷ case value  (≈143)</t>
        </is>
      </c>
    </row>
    <row r="17" ht="22" customHeight="1">
      <c r="B17" s="12" t="inlineStr">
        <is>
          <t xml:space="preserve">  Total revenue capacity</t>
        </is>
      </c>
      <c r="E17" s="15">
        <f>E15*E10</f>
        <v/>
      </c>
      <c r="F17" s="14" t="inlineStr">
        <is>
          <t xml:space="preserve">   effective FTE × ceiling/mgr</t>
        </is>
      </c>
    </row>
    <row r="18" ht="22" customHeight="1">
      <c r="B18" s="12" t="inlineStr">
        <is>
          <t xml:space="preserve">  Total case capacity</t>
        </is>
      </c>
      <c r="E18" s="13">
        <f>E15*E16</f>
        <v/>
      </c>
      <c r="F18" s="14" t="inlineStr">
        <is>
          <t xml:space="preserve">   derived case ceiling</t>
        </is>
      </c>
    </row>
    <row r="19" ht="22" customHeight="1">
      <c r="B19" s="12" t="inlineStr">
        <is>
          <t xml:space="preserve">  Comfortable revenue capacity</t>
        </is>
      </c>
      <c r="E19" s="15">
        <f>E17*E13</f>
        <v/>
      </c>
      <c r="F19" s="14" t="inlineStr">
        <is>
          <t xml:space="preserve">   total capacity × comfort ceiling</t>
        </is>
      </c>
    </row>
    <row r="20" ht="22" customHeight="1">
      <c r="B20" s="12" t="inlineStr">
        <is>
          <t xml:space="preserve">  Historical benchmark (cases/mgr, w/ admin)</t>
        </is>
      </c>
      <c r="E20" s="16" t="n">
        <v>130</v>
      </c>
      <c r="F20" s="14" t="inlineStr">
        <is>
          <t xml:space="preserve">   prior reference — compare to ~143 above</t>
        </is>
      </c>
    </row>
    <row r="21" ht="20" customHeight="1">
      <c r="B21" s="3" t="inlineStr">
        <is>
          <t xml:space="preserve">  CURRENT STATE</t>
        </is>
      </c>
    </row>
    <row r="22" ht="22" customHeight="1">
      <c r="B22" s="12" t="inlineStr">
        <is>
          <t xml:space="preserve">  Current active book value</t>
        </is>
      </c>
      <c r="E22" s="15">
        <f>E8*E11</f>
        <v/>
      </c>
      <c r="F22" s="14" t="inlineStr">
        <is>
          <t xml:space="preserve">   open cases × case value</t>
        </is>
      </c>
    </row>
    <row r="23" ht="22" customHeight="1">
      <c r="B23" s="12" t="inlineStr">
        <is>
          <t xml:space="preserve">  Revenue utilization</t>
        </is>
      </c>
      <c r="E23" s="17">
        <f>E22/E17</f>
        <v/>
      </c>
      <c r="F23" s="14" t="inlineStr">
        <is>
          <t xml:space="preserve">   book value ÷ total revenue capacity</t>
        </is>
      </c>
    </row>
    <row r="24" ht="22" customHeight="1">
      <c r="B24" s="12" t="inlineStr">
        <is>
          <t xml:space="preserve">  Headroom to comfort ($)</t>
        </is>
      </c>
      <c r="E24" s="15">
        <f>E19-E22</f>
        <v/>
      </c>
      <c r="F24" s="14" t="inlineStr">
        <is>
          <t xml:space="preserve">   room before the comfort ceiling</t>
        </is>
      </c>
    </row>
    <row r="25" ht="22" customHeight="1">
      <c r="B25" s="12" t="inlineStr">
        <is>
          <t xml:space="preserve">  Headroom to comfort (cases)</t>
        </is>
      </c>
      <c r="E25" s="13">
        <f>E24/E11</f>
        <v/>
      </c>
      <c r="F25" s="14" t="inlineStr">
        <is>
          <t xml:space="preserve">   same headroom expressed in cases</t>
        </is>
      </c>
    </row>
    <row r="26" ht="22" customHeight="1">
      <c r="B26" s="12" t="inlineStr">
        <is>
          <t xml:space="preserve">  New cases / month</t>
        </is>
      </c>
      <c r="E26" s="13">
        <f>E9*52/12</f>
        <v/>
      </c>
      <c r="F26" s="14" t="inlineStr">
        <is>
          <t xml:space="preserve">   25/wk ≈ 108/mo</t>
        </is>
      </c>
    </row>
    <row r="27" ht="22" customHeight="1">
      <c r="B27" s="12" t="inlineStr">
        <is>
          <t xml:space="preserve">  Cases closing / month</t>
        </is>
      </c>
      <c r="E27" s="13">
        <f>E8/E12</f>
        <v/>
      </c>
      <c r="F27" s="14" t="inlineStr">
        <is>
          <t xml:space="preserve">   ≈ open ÷ lifespan</t>
        </is>
      </c>
    </row>
    <row r="28" ht="22" customHeight="1">
      <c r="B28" s="12" t="inlineStr">
        <is>
          <t xml:space="preserve">  Net case growth / month</t>
        </is>
      </c>
      <c r="E28" s="13">
        <f>E26-E27</f>
        <v/>
      </c>
      <c r="F28" s="14" t="inlineStr">
        <is>
          <t xml:space="preserve">   new − closing</t>
        </is>
      </c>
    </row>
    <row r="29" ht="22" customHeight="1">
      <c r="B29" s="12" t="inlineStr">
        <is>
          <t xml:space="preserve">  Net revenue growth / month</t>
        </is>
      </c>
      <c r="E29" s="15">
        <f>E28*E11</f>
        <v/>
      </c>
      <c r="F29" s="14" t="inlineStr">
        <is>
          <t xml:space="preserve">   net case growth × case value</t>
        </is>
      </c>
    </row>
    <row r="30" ht="22" customHeight="1">
      <c r="B30" s="12" t="inlineStr">
        <is>
          <t xml:space="preserve">  Months to comfortably full</t>
        </is>
      </c>
      <c r="E30" s="13">
        <f>IF(E28&lt;=0,"stable / shrinking",IF(E25&lt;=0,"already over",E25/E28))</f>
        <v/>
      </c>
      <c r="F30" s="14" t="inlineStr">
        <is>
          <t xml:space="preserve">   headroom ÷ net growth</t>
        </is>
      </c>
    </row>
    <row r="31" ht="22" customHeight="1">
      <c r="B31" s="12" t="inlineStr">
        <is>
          <t xml:space="preserve">  Implied annual revenue throughput</t>
        </is>
      </c>
      <c r="E31" s="15">
        <f>E22*(12/E12)</f>
        <v/>
      </c>
      <c r="F31" s="14" t="inlineStr">
        <is>
          <t xml:space="preserve">   = book value when lifespan = 12 mo</t>
        </is>
      </c>
    </row>
    <row r="33" ht="30" customHeight="1">
      <c r="B33" s="18">
        <f>IF(E23&gt;=E13,"ADD CAPACITY",IF(E23&lt;=E13-0.2,"SELL MORE","MAINTAIN"))</f>
        <v/>
      </c>
      <c r="C33" s="30" t="n"/>
      <c r="D33" s="30" t="n"/>
      <c r="E33" s="30" t="n"/>
      <c r="F33" s="30" t="n"/>
      <c r="G33" s="30" t="n"/>
      <c r="H33" s="30" t="n"/>
      <c r="I33" s="30" t="n"/>
      <c r="J33" s="31" t="n"/>
    </row>
    <row r="34" ht="24" customHeight="1">
      <c r="B34" s="32" t="n"/>
      <c r="J34" s="33" t="n"/>
    </row>
    <row r="35">
      <c r="B35" s="34" t="n"/>
      <c r="C35" s="35" t="n"/>
      <c r="D35" s="35" t="n"/>
      <c r="E35" s="35" t="n"/>
      <c r="F35" s="35" t="n"/>
      <c r="G35" s="35" t="n"/>
      <c r="H35" s="35" t="n"/>
      <c r="I35" s="35" t="n"/>
      <c r="J35" s="36" t="n"/>
    </row>
    <row r="36">
      <c r="B36" s="19" t="inlineStr">
        <is>
          <t xml:space="preserve">  Three states: at/above the comfort ceiling → ADD CAPACITY · more than 20 pts below → SELL MORE · in between → MAINTAIN.</t>
        </is>
      </c>
    </row>
    <row r="37" ht="20" customHeight="1">
      <c r="B37" s="3" t="inlineStr">
        <is>
          <t xml:space="preserve">  12-MONTH PROJECTION  (assumes intake, case value &amp; lifespan hold steady)</t>
        </is>
      </c>
    </row>
    <row r="38" ht="30" customHeight="1">
      <c r="B38" s="20" t="inlineStr">
        <is>
          <t>Month</t>
        </is>
      </c>
      <c r="C38" s="20" t="inlineStr">
        <is>
          <t>Open (start)</t>
        </is>
      </c>
      <c r="D38" s="20" t="inlineStr">
        <is>
          <t>New</t>
        </is>
      </c>
      <c r="E38" s="20" t="inlineStr">
        <is>
          <t>Closed</t>
        </is>
      </c>
      <c r="F38" s="20" t="inlineStr">
        <is>
          <t>Open (end)</t>
        </is>
      </c>
      <c r="G38" s="20" t="inlineStr">
        <is>
          <t>Book value</t>
        </is>
      </c>
      <c r="H38" s="20" t="inlineStr">
        <is>
          <t>Rev. util.</t>
        </is>
      </c>
      <c r="I38" s="20" t="inlineStr">
        <is>
          <t>Status</t>
        </is>
      </c>
      <c r="J38" s="20" t="inlineStr">
        <is>
          <t>Comfort cap ($)</t>
        </is>
      </c>
    </row>
    <row r="39">
      <c r="B39" s="21" t="inlineStr">
        <is>
          <t>Now</t>
        </is>
      </c>
      <c r="C39" s="22" t="inlineStr">
        <is>
          <t>—</t>
        </is>
      </c>
      <c r="D39" s="22" t="inlineStr">
        <is>
          <t>—</t>
        </is>
      </c>
      <c r="E39" s="22" t="inlineStr">
        <is>
          <t>—</t>
        </is>
      </c>
      <c r="F39" s="23">
        <f>E8</f>
        <v/>
      </c>
      <c r="G39" s="24">
        <f>F39*$E$11</f>
        <v/>
      </c>
      <c r="H39" s="25">
        <f>G39/$E$17</f>
        <v/>
      </c>
      <c r="I39" s="26">
        <f>IF(H39&gt;=$E$13,"Add capacity",IF(H39&lt;=$E$13-0.2,"Sell more","Maintain"))</f>
        <v/>
      </c>
      <c r="J39" s="27">
        <f>$E$19</f>
        <v/>
      </c>
    </row>
    <row r="40">
      <c r="B40" s="26" t="inlineStr">
        <is>
          <t>Mo 1</t>
        </is>
      </c>
      <c r="C40" s="28">
        <f>F39</f>
        <v/>
      </c>
      <c r="D40" s="28">
        <f>$E$26</f>
        <v/>
      </c>
      <c r="E40" s="28">
        <f>C40/$E$12</f>
        <v/>
      </c>
      <c r="F40" s="23">
        <f>MAX(0,C40+D40-E40)</f>
        <v/>
      </c>
      <c r="G40" s="24">
        <f>F40*$E$11</f>
        <v/>
      </c>
      <c r="H40" s="25">
        <f>G40/$E$17</f>
        <v/>
      </c>
      <c r="I40" s="26">
        <f>IF(H40&gt;=$E$13,"Add capacity",IF(H40&lt;=$E$13-0.2,"Sell more","Maintain"))</f>
        <v/>
      </c>
      <c r="J40" s="27">
        <f>$E$19</f>
        <v/>
      </c>
    </row>
    <row r="41">
      <c r="B41" s="26" t="inlineStr">
        <is>
          <t>Mo 2</t>
        </is>
      </c>
      <c r="C41" s="28">
        <f>F40</f>
        <v/>
      </c>
      <c r="D41" s="28">
        <f>$E$26</f>
        <v/>
      </c>
      <c r="E41" s="28">
        <f>C41/$E$12</f>
        <v/>
      </c>
      <c r="F41" s="23">
        <f>MAX(0,C41+D41-E41)</f>
        <v/>
      </c>
      <c r="G41" s="24">
        <f>F41*$E$11</f>
        <v/>
      </c>
      <c r="H41" s="25">
        <f>G41/$E$17</f>
        <v/>
      </c>
      <c r="I41" s="26">
        <f>IF(H41&gt;=$E$13,"Add capacity",IF(H41&lt;=$E$13-0.2,"Sell more","Maintain"))</f>
        <v/>
      </c>
      <c r="J41" s="27">
        <f>$E$19</f>
        <v/>
      </c>
    </row>
    <row r="42">
      <c r="B42" s="26" t="inlineStr">
        <is>
          <t>Mo 3</t>
        </is>
      </c>
      <c r="C42" s="28">
        <f>F41</f>
        <v/>
      </c>
      <c r="D42" s="28">
        <f>$E$26</f>
        <v/>
      </c>
      <c r="E42" s="28">
        <f>C42/$E$12</f>
        <v/>
      </c>
      <c r="F42" s="23">
        <f>MAX(0,C42+D42-E42)</f>
        <v/>
      </c>
      <c r="G42" s="24">
        <f>F42*$E$11</f>
        <v/>
      </c>
      <c r="H42" s="25">
        <f>G42/$E$17</f>
        <v/>
      </c>
      <c r="I42" s="26">
        <f>IF(H42&gt;=$E$13,"Add capacity",IF(H42&lt;=$E$13-0.2,"Sell more","Maintain"))</f>
        <v/>
      </c>
      <c r="J42" s="27">
        <f>$E$19</f>
        <v/>
      </c>
    </row>
    <row r="43">
      <c r="B43" s="26" t="inlineStr">
        <is>
          <t>Mo 4</t>
        </is>
      </c>
      <c r="C43" s="28">
        <f>F42</f>
        <v/>
      </c>
      <c r="D43" s="28">
        <f>$E$26</f>
        <v/>
      </c>
      <c r="E43" s="28">
        <f>C43/$E$12</f>
        <v/>
      </c>
      <c r="F43" s="23">
        <f>MAX(0,C43+D43-E43)</f>
        <v/>
      </c>
      <c r="G43" s="24">
        <f>F43*$E$11</f>
        <v/>
      </c>
      <c r="H43" s="25">
        <f>G43/$E$17</f>
        <v/>
      </c>
      <c r="I43" s="26">
        <f>IF(H43&gt;=$E$13,"Add capacity",IF(H43&lt;=$E$13-0.2,"Sell more","Maintain"))</f>
        <v/>
      </c>
      <c r="J43" s="27">
        <f>$E$19</f>
        <v/>
      </c>
    </row>
    <row r="44">
      <c r="B44" s="26" t="inlineStr">
        <is>
          <t>Mo 5</t>
        </is>
      </c>
      <c r="C44" s="28">
        <f>F43</f>
        <v/>
      </c>
      <c r="D44" s="28">
        <f>$E$26</f>
        <v/>
      </c>
      <c r="E44" s="28">
        <f>C44/$E$12</f>
        <v/>
      </c>
      <c r="F44" s="23">
        <f>MAX(0,C44+D44-E44)</f>
        <v/>
      </c>
      <c r="G44" s="24">
        <f>F44*$E$11</f>
        <v/>
      </c>
      <c r="H44" s="25">
        <f>G44/$E$17</f>
        <v/>
      </c>
      <c r="I44" s="26">
        <f>IF(H44&gt;=$E$13,"Add capacity",IF(H44&lt;=$E$13-0.2,"Sell more","Maintain"))</f>
        <v/>
      </c>
      <c r="J44" s="27">
        <f>$E$19</f>
        <v/>
      </c>
    </row>
    <row r="45">
      <c r="B45" s="26" t="inlineStr">
        <is>
          <t>Mo 6</t>
        </is>
      </c>
      <c r="C45" s="28">
        <f>F44</f>
        <v/>
      </c>
      <c r="D45" s="28">
        <f>$E$26</f>
        <v/>
      </c>
      <c r="E45" s="28">
        <f>C45/$E$12</f>
        <v/>
      </c>
      <c r="F45" s="23">
        <f>MAX(0,C45+D45-E45)</f>
        <v/>
      </c>
      <c r="G45" s="24">
        <f>F45*$E$11</f>
        <v/>
      </c>
      <c r="H45" s="25">
        <f>G45/$E$17</f>
        <v/>
      </c>
      <c r="I45" s="26">
        <f>IF(H45&gt;=$E$13,"Add capacity",IF(H45&lt;=$E$13-0.2,"Sell more","Maintain"))</f>
        <v/>
      </c>
      <c r="J45" s="27">
        <f>$E$19</f>
        <v/>
      </c>
    </row>
    <row r="46">
      <c r="B46" s="26" t="inlineStr">
        <is>
          <t>Mo 7</t>
        </is>
      </c>
      <c r="C46" s="28">
        <f>F45</f>
        <v/>
      </c>
      <c r="D46" s="28">
        <f>$E$26</f>
        <v/>
      </c>
      <c r="E46" s="28">
        <f>C46/$E$12</f>
        <v/>
      </c>
      <c r="F46" s="23">
        <f>MAX(0,C46+D46-E46)</f>
        <v/>
      </c>
      <c r="G46" s="24">
        <f>F46*$E$11</f>
        <v/>
      </c>
      <c r="H46" s="25">
        <f>G46/$E$17</f>
        <v/>
      </c>
      <c r="I46" s="26">
        <f>IF(H46&gt;=$E$13,"Add capacity",IF(H46&lt;=$E$13-0.2,"Sell more","Maintain"))</f>
        <v/>
      </c>
      <c r="J46" s="27">
        <f>$E$19</f>
        <v/>
      </c>
    </row>
    <row r="47">
      <c r="B47" s="26" t="inlineStr">
        <is>
          <t>Mo 8</t>
        </is>
      </c>
      <c r="C47" s="28">
        <f>F46</f>
        <v/>
      </c>
      <c r="D47" s="28">
        <f>$E$26</f>
        <v/>
      </c>
      <c r="E47" s="28">
        <f>C47/$E$12</f>
        <v/>
      </c>
      <c r="F47" s="23">
        <f>MAX(0,C47+D47-E47)</f>
        <v/>
      </c>
      <c r="G47" s="24">
        <f>F47*$E$11</f>
        <v/>
      </c>
      <c r="H47" s="25">
        <f>G47/$E$17</f>
        <v/>
      </c>
      <c r="I47" s="26">
        <f>IF(H47&gt;=$E$13,"Add capacity",IF(H47&lt;=$E$13-0.2,"Sell more","Maintain"))</f>
        <v/>
      </c>
      <c r="J47" s="27">
        <f>$E$19</f>
        <v/>
      </c>
    </row>
    <row r="48">
      <c r="B48" s="26" t="inlineStr">
        <is>
          <t>Mo 9</t>
        </is>
      </c>
      <c r="C48" s="28">
        <f>F47</f>
        <v/>
      </c>
      <c r="D48" s="28">
        <f>$E$26</f>
        <v/>
      </c>
      <c r="E48" s="28">
        <f>C48/$E$12</f>
        <v/>
      </c>
      <c r="F48" s="23">
        <f>MAX(0,C48+D48-E48)</f>
        <v/>
      </c>
      <c r="G48" s="24">
        <f>F48*$E$11</f>
        <v/>
      </c>
      <c r="H48" s="25">
        <f>G48/$E$17</f>
        <v/>
      </c>
      <c r="I48" s="26">
        <f>IF(H48&gt;=$E$13,"Add capacity",IF(H48&lt;=$E$13-0.2,"Sell more","Maintain"))</f>
        <v/>
      </c>
      <c r="J48" s="27">
        <f>$E$19</f>
        <v/>
      </c>
    </row>
    <row r="49">
      <c r="B49" s="26" t="inlineStr">
        <is>
          <t>Mo 10</t>
        </is>
      </c>
      <c r="C49" s="28">
        <f>F48</f>
        <v/>
      </c>
      <c r="D49" s="28">
        <f>$E$26</f>
        <v/>
      </c>
      <c r="E49" s="28">
        <f>C49/$E$12</f>
        <v/>
      </c>
      <c r="F49" s="23">
        <f>MAX(0,C49+D49-E49)</f>
        <v/>
      </c>
      <c r="G49" s="24">
        <f>F49*$E$11</f>
        <v/>
      </c>
      <c r="H49" s="25">
        <f>G49/$E$17</f>
        <v/>
      </c>
      <c r="I49" s="26">
        <f>IF(H49&gt;=$E$13,"Add capacity",IF(H49&lt;=$E$13-0.2,"Sell more","Maintain"))</f>
        <v/>
      </c>
      <c r="J49" s="27">
        <f>$E$19</f>
        <v/>
      </c>
    </row>
    <row r="50">
      <c r="B50" s="26" t="inlineStr">
        <is>
          <t>Mo 11</t>
        </is>
      </c>
      <c r="C50" s="28">
        <f>F49</f>
        <v/>
      </c>
      <c r="D50" s="28">
        <f>$E$26</f>
        <v/>
      </c>
      <c r="E50" s="28">
        <f>C50/$E$12</f>
        <v/>
      </c>
      <c r="F50" s="23">
        <f>MAX(0,C50+D50-E50)</f>
        <v/>
      </c>
      <c r="G50" s="24">
        <f>F50*$E$11</f>
        <v/>
      </c>
      <c r="H50" s="25">
        <f>G50/$E$17</f>
        <v/>
      </c>
      <c r="I50" s="26">
        <f>IF(H50&gt;=$E$13,"Add capacity",IF(H50&lt;=$E$13-0.2,"Sell more","Maintain"))</f>
        <v/>
      </c>
      <c r="J50" s="27">
        <f>$E$19</f>
        <v/>
      </c>
    </row>
    <row r="51">
      <c r="B51" s="26" t="inlineStr">
        <is>
          <t>Mo 12</t>
        </is>
      </c>
      <c r="C51" s="28">
        <f>F50</f>
        <v/>
      </c>
      <c r="D51" s="28">
        <f>$E$26</f>
        <v/>
      </c>
      <c r="E51" s="28">
        <f>C51/$E$12</f>
        <v/>
      </c>
      <c r="F51" s="23">
        <f>MAX(0,C51+D51-E51)</f>
        <v/>
      </c>
      <c r="G51" s="24">
        <f>F51*$E$11</f>
        <v/>
      </c>
      <c r="H51" s="25">
        <f>G51/$E$17</f>
        <v/>
      </c>
      <c r="I51" s="26">
        <f>IF(H51&gt;=$E$13,"Add capacity",IF(H51&lt;=$E$13-0.2,"Sell more","Maintain"))</f>
        <v/>
      </c>
      <c r="J51" s="27">
        <f>$E$19</f>
        <v/>
      </c>
    </row>
    <row r="53" ht="20" customHeight="1">
      <c r="B53" s="11" t="inlineStr">
        <is>
          <t xml:space="preserve">  NOTES &amp; ASSUMPTIONS</t>
        </is>
      </c>
    </row>
    <row r="54" ht="30" customHeight="1">
      <c r="B54" s="29" t="inlineStr">
        <is>
          <t>•  Model: capacity is a revenue ceiling per case manager (David's definition); case counts are DERIVED from revenue ceiling ÷ average case value. David owns this model and its calculations going forward.</t>
        </is>
      </c>
    </row>
    <row r="55" ht="30" customHeight="1">
      <c r="B55" s="29" t="inlineStr">
        <is>
          <t>•  $1M reconciliation: treated as ACTIVE BOOK VALUE at a point in time → max ≈143 cases/mgr. With a 12-month lifespan this equals annual revenue throughput (see that row). Historical 130/mgr was WITH admin support — shown as a benchmark. To adopt 130, lower the revenue ceiling (≈$910K) or raise case value.</t>
        </is>
      </c>
    </row>
    <row r="56" ht="30" customHeight="1">
      <c r="B56" s="29" t="inlineStr">
        <is>
          <t>•  Trainees count as 0.5 FTE until ramped; adjust the trainee count as new hires gain experience.</t>
        </is>
      </c>
    </row>
    <row r="57" ht="30" customHeight="1">
      <c r="B57" s="29" t="inlineStr">
        <is>
          <t>•  New-case goal of 25/week (≈108/month) is the sales target supported by 3 reps + James at 6 follow-up calls/day — stress-test it here against staffing.</t>
        </is>
      </c>
    </row>
    <row r="58" ht="30" customHeight="1">
      <c r="B58" s="29" t="inlineStr">
        <is>
          <t>•  Data hygiene: time logs are NOT yet reliable (sub-1-minute entries seen). Enforce a 15-minute minimum increment, tie compliance to compensation, before trusting any hours-based metric (full Atlas). This sheet is case/revenue-based and unaffected.</t>
        </is>
      </c>
    </row>
    <row r="59" ht="30" customHeight="1">
      <c r="B59" s="29" t="inlineStr">
        <is>
          <t>•  Known reporting quirks — footnote, do not treat as signal: (1) one-day overlap between growth and sales reports from different date defaults; (2) date-selector bug can select two days at once.</t>
        </is>
      </c>
    </row>
    <row r="60" ht="30" customHeight="1">
      <c r="B60" s="29" t="inlineStr">
        <is>
          <t>•  Inputs can be entered manually now or synced later via OAuth from the CRM / task manager — the input cells work either way.</t>
        </is>
      </c>
    </row>
    <row r="61" ht="30" customHeight="1">
      <c r="B61" s="29" t="inlineStr">
        <is>
          <t>•  The full Capacity Atlas (3 utilization tracks: case/hours/surge, projected hours, expected revenue, surge overflow, hiring/intake triggers, and a P&amp;L view) remains the aspirational map; this Lite sheet is the immediately usable version (per Vanessa — show David both).</t>
        </is>
      </c>
    </row>
  </sheetData>
  <mergeCells count="41">
    <mergeCell ref="F29:J29"/>
    <mergeCell ref="F11:J11"/>
    <mergeCell ref="B61:J61"/>
    <mergeCell ref="B14:J14"/>
    <mergeCell ref="F10:J10"/>
    <mergeCell ref="F16:J16"/>
    <mergeCell ref="B60:J60"/>
    <mergeCell ref="F19:J19"/>
    <mergeCell ref="F25:J25"/>
    <mergeCell ref="B57:J57"/>
    <mergeCell ref="B53:J53"/>
    <mergeCell ref="F6:J6"/>
    <mergeCell ref="F7:J7"/>
    <mergeCell ref="F30:J30"/>
    <mergeCell ref="F15:J15"/>
    <mergeCell ref="B37:J37"/>
    <mergeCell ref="F12:J12"/>
    <mergeCell ref="F24:J24"/>
    <mergeCell ref="F20:J20"/>
    <mergeCell ref="F18:J18"/>
    <mergeCell ref="B55:J55"/>
    <mergeCell ref="F8:J8"/>
    <mergeCell ref="F26:J26"/>
    <mergeCell ref="F17:J17"/>
    <mergeCell ref="B5:J5"/>
    <mergeCell ref="B33:J35"/>
    <mergeCell ref="F23:J23"/>
    <mergeCell ref="B36:J36"/>
    <mergeCell ref="F28:J28"/>
    <mergeCell ref="F31:J31"/>
    <mergeCell ref="F22:J22"/>
    <mergeCell ref="F13:J13"/>
    <mergeCell ref="F27:J27"/>
    <mergeCell ref="B54:J54"/>
    <mergeCell ref="F9:J9"/>
    <mergeCell ref="B3:J3"/>
    <mergeCell ref="B59:J59"/>
    <mergeCell ref="B56:J56"/>
    <mergeCell ref="B58:J58"/>
    <mergeCell ref="B21:J21"/>
    <mergeCell ref="B2:J2"/>
  </mergeCells>
  <conditionalFormatting sqref="B33">
    <cfRule type="expression" priority="1" dxfId="0">
      <formula>ISNUMBER(SEARCH("ADD",B33))</formula>
    </cfRule>
    <cfRule type="expression" priority="2" dxfId="1">
      <formula>ISNUMBER(SEARCH("SELL",B33))</formula>
    </cfRule>
    <cfRule type="expression" priority="3" dxfId="2">
      <formula>ISNUMBER(SEARCH("MAINTAIN",B33))</formula>
    </cfRule>
  </conditionalFormatting>
  <conditionalFormatting sqref="H39:H51">
    <cfRule type="colorScale" priority="4">
      <colorScale>
        <cfvo type="num" val="0"/>
        <cfvo type="num" val="0.7"/>
        <cfvo type="num" val="1"/>
        <color rgb="00D9ECE2"/>
        <color rgb="00FBECCB"/>
        <color rgb="00F4D8D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7D5B"/>
    <outlinePr summaryBelow="1" summaryRight="1"/>
    <pageSetUpPr/>
  </sheetPr>
  <dimension ref="B2:H5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3" customWidth="1" min="3" max="3"/>
    <col width="3" customWidth="1" min="4" max="4"/>
    <col width="16" customWidth="1" min="5" max="5"/>
    <col width="3" customWidth="1" min="6" max="6"/>
    <col width="16" customWidth="1" min="7" max="7"/>
    <col width="40" customWidth="1" min="8" max="8"/>
  </cols>
  <sheetData>
    <row r="2" ht="34" customHeight="1">
      <c r="B2" s="37" t="inlineStr">
        <is>
          <t>PROFITABILITY  ·  New Compensation Model</t>
        </is>
      </c>
    </row>
    <row r="3" ht="16" customHeight="1">
      <c r="B3" s="38" t="inlineStr">
        <is>
          <t>Annual run-rate. Compares the OLD comp model vs the NEW (growth-incentive) model at the intake each one actually drives. Edit yellow (data) and blue (comp terms) cells.</t>
        </is>
      </c>
    </row>
    <row r="5" ht="18" customHeight="1">
      <c r="B5" s="39" t="inlineStr">
        <is>
          <t xml:space="preserve">  INPUTS</t>
        </is>
      </c>
    </row>
    <row r="6" ht="20" customHeight="1">
      <c r="B6" s="40" t="inlineStr">
        <is>
          <t xml:space="preserve">  Average case value ($)</t>
        </is>
      </c>
      <c r="E6" s="41">
        <f>'Capacity Lite'!E11</f>
        <v/>
      </c>
      <c r="G6" s="42" t="inlineStr">
        <is>
          <t>linked from Capacity Lite</t>
        </is>
      </c>
    </row>
    <row r="7" ht="20" customHeight="1">
      <c r="B7" s="40" t="inlineStr">
        <is>
          <t xml:space="preserve">  Average case lifespan (months)</t>
        </is>
      </c>
      <c r="E7" s="43">
        <f>'Capacity Lite'!E12</f>
        <v/>
      </c>
      <c r="G7" s="42" t="inlineStr">
        <is>
          <t>linked from Capacity Lite</t>
        </is>
      </c>
    </row>
    <row r="8" ht="20" customHeight="1">
      <c r="B8" s="40" t="inlineStr">
        <is>
          <t xml:space="preserve">  Max active cases per manager</t>
        </is>
      </c>
      <c r="E8" s="43">
        <f>'Capacity Lite'!E16</f>
        <v/>
      </c>
      <c r="G8" s="42" t="inlineStr">
        <is>
          <t>linked (≈143)</t>
        </is>
      </c>
    </row>
    <row r="9" ht="20" customHeight="1">
      <c r="B9" s="40" t="inlineStr">
        <is>
          <t xml:space="preserve">  Collection rate (% of signed value)</t>
        </is>
      </c>
      <c r="E9" s="44" t="n">
        <v>0.85</v>
      </c>
      <c r="G9" s="42" t="inlineStr">
        <is>
          <t>share of signed fees actually collected</t>
        </is>
      </c>
    </row>
    <row r="10" ht="20" customHeight="1">
      <c r="B10" s="40" t="inlineStr">
        <is>
          <t xml:space="preserve">  Intake UNDER OLD comp (cases/week)</t>
        </is>
      </c>
      <c r="E10" s="45" t="n">
        <v>12</v>
      </c>
      <c r="G10" s="42" t="inlineStr">
        <is>
          <t>what James/reps produce on salary</t>
        </is>
      </c>
    </row>
    <row r="11" ht="20" customHeight="1">
      <c r="B11" s="40" t="inlineStr">
        <is>
          <t xml:space="preserve">  Intake UNDER NEW comp (cases/week)</t>
        </is>
      </c>
      <c r="E11" s="45" t="n">
        <v>25</v>
      </c>
      <c r="G11" s="42" t="inlineStr">
        <is>
          <t>the incentivized target: 3 reps + James</t>
        </is>
      </c>
    </row>
    <row r="12" ht="20" customHeight="1">
      <c r="B12" s="40" t="inlineStr">
        <is>
          <t xml:space="preserve">  James base — OLD ($/yr)</t>
        </is>
      </c>
      <c r="E12" s="46" t="n">
        <v>90000</v>
      </c>
      <c r="G12" s="42" t="inlineStr">
        <is>
          <t>salary-heavy</t>
        </is>
      </c>
    </row>
    <row r="13" ht="20" customHeight="1">
      <c r="B13" s="40" t="inlineStr">
        <is>
          <t xml:space="preserve">  James base — NEW ($/yr)</t>
        </is>
      </c>
      <c r="E13" s="47" t="n">
        <v>60000</v>
      </c>
      <c r="G13" s="42" t="inlineStr">
        <is>
          <t>reduced base, upside from commission</t>
        </is>
      </c>
    </row>
    <row r="14" ht="20" customHeight="1">
      <c r="B14" s="40" t="inlineStr">
        <is>
          <t xml:space="preserve">  James commission — NEW (% of signed value)</t>
        </is>
      </c>
      <c r="E14" s="48" t="n">
        <v>0.01</v>
      </c>
      <c r="G14" s="42" t="inlineStr">
        <is>
          <t>growth commission</t>
        </is>
      </c>
    </row>
    <row r="15" ht="20" customHeight="1">
      <c r="B15" s="40" t="inlineStr">
        <is>
          <t xml:space="preserve">  Number of sales reps</t>
        </is>
      </c>
      <c r="E15" s="49" t="n">
        <v>3</v>
      </c>
      <c r="G15" s="42" t="inlineStr"/>
    </row>
    <row r="16" ht="20" customHeight="1">
      <c r="B16" s="40" t="inlineStr">
        <is>
          <t xml:space="preserve">  Rep base — OLD ($/yr each)</t>
        </is>
      </c>
      <c r="E16" s="46" t="n">
        <v>60000</v>
      </c>
      <c r="G16" s="42" t="inlineStr"/>
    </row>
    <row r="17" ht="20" customHeight="1">
      <c r="B17" s="40" t="inlineStr">
        <is>
          <t xml:space="preserve">  Rep base — NEW ($/yr each)</t>
        </is>
      </c>
      <c r="E17" s="47" t="n">
        <v>45000</v>
      </c>
      <c r="G17" s="42" t="inlineStr"/>
    </row>
    <row r="18" ht="20" customHeight="1">
      <c r="B18" s="40" t="inlineStr">
        <is>
          <t xml:space="preserve">  Reps commission — NEW (% pooled)</t>
        </is>
      </c>
      <c r="E18" s="48" t="n">
        <v>0.02</v>
      </c>
      <c r="G18" s="42" t="inlineStr">
        <is>
          <t>across all reps, of signed value</t>
        </is>
      </c>
    </row>
    <row r="19" ht="20" customHeight="1">
      <c r="B19" s="40" t="inlineStr">
        <is>
          <t xml:space="preserve">  Case manager loaded comp ($/yr)</t>
        </is>
      </c>
      <c r="E19" s="50" t="n">
        <v>75000</v>
      </c>
      <c r="G19" s="42" t="inlineStr">
        <is>
          <t>delivery cost per manager FTE</t>
        </is>
      </c>
    </row>
    <row r="20" ht="20" customHeight="1">
      <c r="B20" s="40" t="inlineStr">
        <is>
          <t xml:space="preserve">  MG&amp;A overhead — fixed ($/yr)</t>
        </is>
      </c>
      <c r="E20" s="50" t="n">
        <v>300000</v>
      </c>
      <c r="G20" s="42" t="inlineStr">
        <is>
          <t>rent, software, admin</t>
        </is>
      </c>
    </row>
    <row r="21" ht="20" customHeight="1">
      <c r="B21" s="40" t="inlineStr">
        <is>
          <t xml:space="preserve">  MG&amp;A overhead — variable (% of collected rev)</t>
        </is>
      </c>
      <c r="E21" s="44" t="n">
        <v>0.3</v>
      </c>
      <c r="G21" s="42" t="inlineStr">
        <is>
          <t>marketing / lead-gen scales with revenue</t>
        </is>
      </c>
    </row>
    <row r="23" ht="18" customHeight="1">
      <c r="B23" s="51" t="inlineStr">
        <is>
          <t xml:space="preserve">  ANNUAL RUN-RATE P&amp;L</t>
        </is>
      </c>
    </row>
    <row r="24" ht="18" customHeight="1">
      <c r="B24" s="52" t="inlineStr">
        <is>
          <t>Line</t>
        </is>
      </c>
      <c r="E24" s="53" t="inlineStr">
        <is>
          <t>OLD comp</t>
        </is>
      </c>
      <c r="G24" s="54" t="inlineStr">
        <is>
          <t>NEW comp</t>
        </is>
      </c>
      <c r="H24" s="52" t="inlineStr">
        <is>
          <t>Notes</t>
        </is>
      </c>
    </row>
    <row r="25" ht="19" customHeight="1">
      <c r="B25" s="40" t="inlineStr">
        <is>
          <t xml:space="preserve">  Intake (cases/week)</t>
        </is>
      </c>
      <c r="E25" s="55">
        <f>E10</f>
        <v/>
      </c>
      <c r="G25" s="55">
        <f>E11</f>
        <v/>
      </c>
      <c r="H25" s="42" t="inlineStr">
        <is>
          <t>behavioral: new comp lifts volume</t>
        </is>
      </c>
    </row>
    <row r="26" ht="19" customHeight="1">
      <c r="B26" s="40" t="inlineStr">
        <is>
          <t xml:space="preserve">  Annual signed case value</t>
        </is>
      </c>
      <c r="E26" s="56">
        <f>(E10*52*E6)</f>
        <v/>
      </c>
      <c r="G26" s="56">
        <f>(E11*52*E6)</f>
        <v/>
      </c>
      <c r="H26" s="42" t="inlineStr">
        <is>
          <t>cases/wk × 52 × case value</t>
        </is>
      </c>
    </row>
    <row r="27" ht="19" customHeight="1">
      <c r="B27" s="40" t="inlineStr">
        <is>
          <t xml:space="preserve">  Collected revenue</t>
        </is>
      </c>
      <c r="E27" s="56">
        <f>(E10*52*E6)*E9</f>
        <v/>
      </c>
      <c r="G27" s="56">
        <f>(E11*52*E6)*E9</f>
        <v/>
      </c>
      <c r="H27" s="42" t="inlineStr">
        <is>
          <t>signed × collection rate</t>
        </is>
      </c>
    </row>
    <row r="28" ht="19" customHeight="1">
      <c r="B28" s="40" t="inlineStr">
        <is>
          <t xml:space="preserve">  Case managers required (FTE)</t>
        </is>
      </c>
      <c r="E28" s="55">
        <f>(E10*52*(E7/12))/E8</f>
        <v/>
      </c>
      <c r="G28" s="55">
        <f>(E11*52*(E7/12))/E8</f>
        <v/>
      </c>
      <c r="H28" s="42" t="inlineStr">
        <is>
          <t>active cases ÷ max per mgr</t>
        </is>
      </c>
    </row>
    <row r="29" ht="19" customHeight="1">
      <c r="B29" s="40" t="inlineStr">
        <is>
          <t xml:space="preserve">  Case manager cost</t>
        </is>
      </c>
      <c r="E29" s="56">
        <f>-((E10*52*(E7/12))/E8*E19)</f>
        <v/>
      </c>
      <c r="G29" s="56">
        <f>-((E11*52*(E7/12))/E8*E19)</f>
        <v/>
      </c>
      <c r="H29" s="42" t="inlineStr">
        <is>
          <t>required FTE × loaded comp</t>
        </is>
      </c>
    </row>
    <row r="30" ht="19" customHeight="1">
      <c r="B30" s="40" t="inlineStr">
        <is>
          <t xml:space="preserve">  James pay</t>
        </is>
      </c>
      <c r="E30" s="56">
        <f>-E12</f>
        <v/>
      </c>
      <c r="G30" s="56">
        <f>-(E13+E14*(E11*52*E6))</f>
        <v/>
      </c>
      <c r="H30" s="42" t="inlineStr">
        <is>
          <t>OLD base  |  NEW base + commission</t>
        </is>
      </c>
    </row>
    <row r="31" ht="19" customHeight="1">
      <c r="B31" s="40" t="inlineStr">
        <is>
          <t xml:space="preserve">  Sales reps pay</t>
        </is>
      </c>
      <c r="E31" s="56">
        <f>-(E15*E16)</f>
        <v/>
      </c>
      <c r="G31" s="56">
        <f>-(E15*E17+E18*(E11*52*E6))</f>
        <v/>
      </c>
      <c r="H31" s="42" t="inlineStr">
        <is>
          <t>OLD base  |  NEW base + pooled commission</t>
        </is>
      </c>
    </row>
    <row r="32" ht="19" customHeight="1">
      <c r="B32" s="40" t="inlineStr">
        <is>
          <t xml:space="preserve">  MG&amp;A overhead</t>
        </is>
      </c>
      <c r="E32" s="56">
        <f>-(E20+E21*((E10*52*E6)*E9))</f>
        <v/>
      </c>
      <c r="G32" s="56">
        <f>-(E20+E21*((E11*52*E6)*E9))</f>
        <v/>
      </c>
      <c r="H32" s="42" t="inlineStr">
        <is>
          <t>fixed + variable % of collected rev</t>
        </is>
      </c>
    </row>
    <row r="33" ht="19" customHeight="1">
      <c r="B33" s="57" t="inlineStr">
        <is>
          <t xml:space="preserve">  NET PROFIT</t>
        </is>
      </c>
      <c r="E33" s="58">
        <f>(((E10*52*E6)*E9)-((E10*52*(E7/12))/E8*E19)-E12-(E15*E16)-(E20+E21*((E10*52*E6)*E9)))</f>
        <v/>
      </c>
      <c r="G33" s="58">
        <f>(((E11*52*E6)*E9)-((E11*52*(E7/12))/E8*E19)-(E13+E14*(E11*52*E6))-(E15*E17+E18*(E11*52*E6))-(E20+E21*((E11*52*E6)*E9)))</f>
        <v/>
      </c>
      <c r="H33" s="42" t="inlineStr">
        <is>
          <t>collected rev − all costs</t>
        </is>
      </c>
    </row>
    <row r="34" ht="19" customHeight="1">
      <c r="B34" s="57" t="inlineStr">
        <is>
          <t xml:space="preserve">  Net margin</t>
        </is>
      </c>
      <c r="E34" s="59">
        <f>(((E10*52*E6)*E9)-((E10*52*(E7/12))/E8*E19)-E12-(E15*E16)-(E20+E21*((E10*52*E6)*E9)))/((E10*52*E6)*E9)</f>
        <v/>
      </c>
      <c r="G34" s="59">
        <f>(((E11*52*E6)*E9)-((E11*52*(E7/12))/E8*E19)-(E13+E14*(E11*52*E6))-(E15*E17+E18*(E11*52*E6))-(E20+E21*((E11*52*E6)*E9)))/((E11*52*E6)*E9)</f>
        <v/>
      </c>
      <c r="H34" s="42" t="inlineStr"/>
    </row>
    <row r="36" ht="18" customHeight="1">
      <c r="B36" s="60" t="inlineStr">
        <is>
          <t xml:space="preserve">  PROFITABILITY IMPACT OF THE NEW COMP MODEL</t>
        </is>
      </c>
    </row>
    <row r="37" ht="22" customHeight="1">
      <c r="B37" s="61" t="inlineStr">
        <is>
          <t xml:space="preserve">  Δ Collected revenue (new − old)</t>
        </is>
      </c>
      <c r="E37" s="56">
        <f>((E11*52*E6)*E9)-((E10*52*E6)*E9)</f>
        <v/>
      </c>
      <c r="G37" s="62" t="inlineStr">
        <is>
          <t>the growth the incentive unlocks</t>
        </is>
      </c>
    </row>
    <row r="38" ht="22" customHeight="1">
      <c r="B38" s="61" t="inlineStr">
        <is>
          <t xml:space="preserve">  Δ Selling comp cost (new − old)</t>
        </is>
      </c>
      <c r="E38" s="56">
        <f>-(((E13+E14*(E11*52*E6))+(E15*E17+E18*(E11*52*E6)))-(E12+(E15*E16)))</f>
        <v/>
      </c>
      <c r="G38" s="62" t="inlineStr">
        <is>
          <t>extra commission the firm pays out</t>
        </is>
      </c>
    </row>
    <row r="39" ht="22" customHeight="1">
      <c r="B39" s="63" t="inlineStr">
        <is>
          <t xml:space="preserve">  Δ NET PROFIT (new − old)</t>
        </is>
      </c>
      <c r="E39" s="64">
        <f>(((E11*52*E6)*E9)-((E11*52*(E7/12))/E8*E19)-(E13+E14*(E11*52*E6))-(E15*E17+E18*(E11*52*E6))-(E20+E21*((E11*52*E6)*E9)))-(((E10*52*E6)*E9)-((E10*52*(E7/12))/E8*E19)-E12-(E15*E16)-(E20+E21*((E10*52*E6)*E9)))</f>
        <v/>
      </c>
      <c r="G39" s="62" t="inlineStr">
        <is>
          <t>bottom-line effect of switching</t>
        </is>
      </c>
    </row>
    <row r="41">
      <c r="B41" s="65">
        <f>IF(E39&gt;=0,"NEW COMP MODEL IS ACCRETIVE — pays for itself through growth","NEW COMP COSTS MORE — justify via the added revenue &amp; retention")</f>
        <v/>
      </c>
    </row>
    <row r="42"/>
    <row r="44" ht="18" customHeight="1">
      <c r="B44" s="51" t="inlineStr">
        <is>
          <t xml:space="preserve">  NOTES &amp; ASSUMPTIONS</t>
        </is>
      </c>
    </row>
    <row r="45" ht="28" customHeight="1">
      <c r="B45" s="29" t="inlineStr">
        <is>
          <t>•  Commission basis = NEW SIGNED case value (rewards growth). James responds to visuals — see the 'James — New Comp' tab.</t>
        </is>
      </c>
    </row>
    <row r="46" ht="28" customHeight="1">
      <c r="B46" s="29" t="inlineStr">
        <is>
          <t>•  The comparison is intentionally apples-to-oranges on VOLUME: the whole point of the new model is that it lifts intake (old ≈12/wk → new ≈25/wk). Set both intake cells to the same number to isolate the pure cost swap instead.</t>
        </is>
      </c>
    </row>
    <row r="47" ht="28" customHeight="1">
      <c r="B47" s="29" t="inlineStr">
        <is>
          <t>•  Run-rate view: at steady state, annual signed value ≈ annual recognized revenue. During rapid ramp, commission (paid on signings) leads revenue — watch cash timing separately.</t>
        </is>
      </c>
    </row>
    <row r="48" ht="28" customHeight="1">
      <c r="B48" s="29" t="inlineStr">
        <is>
          <t>•  MG&amp;A variable % should include marketing / lead-gen (often the largest cost in tax resolution). Placeholder 30% — replace with actuals.</t>
        </is>
      </c>
    </row>
    <row r="49" ht="28" customHeight="1">
      <c r="B49" s="29" t="inlineStr">
        <is>
          <t>•  Collection rate accounts for refunds / non-payment. Placeholder 85%.</t>
        </is>
      </c>
    </row>
    <row r="50" ht="28" customHeight="1">
      <c r="B50" s="29" t="inlineStr">
        <is>
          <t>•  All comp terms are placeholders pending David's real numbers — every one is an editable input.</t>
        </is>
      </c>
    </row>
  </sheetData>
  <mergeCells count="43">
    <mergeCell ref="G21:H21"/>
    <mergeCell ref="G12:H12"/>
    <mergeCell ref="H27"/>
    <mergeCell ref="C24:D24"/>
    <mergeCell ref="B49:H49"/>
    <mergeCell ref="G11:H11"/>
    <mergeCell ref="H33"/>
    <mergeCell ref="G8:H8"/>
    <mergeCell ref="B5:H5"/>
    <mergeCell ref="G17:H17"/>
    <mergeCell ref="G39:H39"/>
    <mergeCell ref="B45:H45"/>
    <mergeCell ref="B36:H36"/>
    <mergeCell ref="H30"/>
    <mergeCell ref="B50:H50"/>
    <mergeCell ref="G7:H7"/>
    <mergeCell ref="G38:H38"/>
    <mergeCell ref="G10:H10"/>
    <mergeCell ref="H26"/>
    <mergeCell ref="G19:H19"/>
    <mergeCell ref="H29"/>
    <mergeCell ref="G37:H37"/>
    <mergeCell ref="B47:H47"/>
    <mergeCell ref="G6:H6"/>
    <mergeCell ref="G13:H13"/>
    <mergeCell ref="G18:H18"/>
    <mergeCell ref="B3:H3"/>
    <mergeCell ref="B46:H46"/>
    <mergeCell ref="H31"/>
    <mergeCell ref="H25"/>
    <mergeCell ref="H34"/>
    <mergeCell ref="G15:H15"/>
    <mergeCell ref="B2:H2"/>
    <mergeCell ref="G14:H14"/>
    <mergeCell ref="B48:H48"/>
    <mergeCell ref="B23:H23"/>
    <mergeCell ref="G20:H20"/>
    <mergeCell ref="G16:H16"/>
    <mergeCell ref="B44:H44"/>
    <mergeCell ref="H32"/>
    <mergeCell ref="G9:H9"/>
    <mergeCell ref="B41:H42"/>
    <mergeCell ref="H28"/>
  </mergeCells>
  <conditionalFormatting sqref="B41">
    <cfRule type="expression" priority="1" dxfId="3">
      <formula>E39&gt;=0</formula>
    </cfRule>
    <cfRule type="expression" priority="2" dxfId="4">
      <formula>E39&lt;0</formula>
    </cfRule>
  </conditionalFormatting>
  <conditionalFormatting sqref="E25:E34">
    <cfRule type="expression" priority="3" dxfId="5">
      <formula>E25&lt;0</formula>
    </cfRule>
  </conditionalFormatting>
  <conditionalFormatting sqref="G25:G34">
    <cfRule type="expression" priority="4" dxfId="5">
      <formula>G25&lt;0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961E"/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8" customWidth="1" min="3" max="3"/>
    <col width="16" customWidth="1" min="4" max="4"/>
    <col width="16" customWidth="1" min="5" max="5"/>
    <col width="14" customWidth="1" min="6" max="6"/>
    <col width="2" customWidth="1" min="7" max="7"/>
  </cols>
  <sheetData>
    <row r="2" ht="34" customHeight="1">
      <c r="B2" s="37" t="inlineStr">
        <is>
          <t>WHY THE NEW MODEL PAYS JAMES MORE</t>
        </is>
      </c>
    </row>
    <row r="3" ht="28" customHeight="1">
      <c r="B3" s="66" t="inlineStr">
        <is>
          <t>Old model = flat salary no matter how much the firm grows. New model = lower base + commission on new signed cases, so his pay climbs with the growth he drives.</t>
        </is>
      </c>
    </row>
    <row r="5">
      <c r="B5" s="57" t="inlineStr">
        <is>
          <t xml:space="preserve">  James base — OLD</t>
        </is>
      </c>
      <c r="C5" s="67">
        <f>'Profitability'!E12</f>
        <v/>
      </c>
      <c r="E5" s="57" t="inlineStr">
        <is>
          <t xml:space="preserve">  Target intake (cases/wk)</t>
        </is>
      </c>
      <c r="F5" s="68">
        <f>'Profitability'!E11</f>
        <v/>
      </c>
    </row>
    <row r="6">
      <c r="B6" s="57" t="inlineStr">
        <is>
          <t xml:space="preserve">  James base — NEW</t>
        </is>
      </c>
      <c r="C6" s="69">
        <f>'Profitability'!E13</f>
        <v/>
      </c>
    </row>
    <row r="7">
      <c r="B7" s="57" t="inlineStr">
        <is>
          <t xml:space="preserve">  Commission % (signed value)</t>
        </is>
      </c>
      <c r="C7" s="70">
        <f>'Profitability'!E14</f>
        <v/>
      </c>
    </row>
    <row r="8">
      <c r="B8" s="57" t="inlineStr">
        <is>
          <t xml:space="preserve">  Case value</t>
        </is>
      </c>
      <c r="C8" s="71">
        <f>'Profitability'!E6</f>
        <v/>
      </c>
    </row>
    <row r="11" ht="30" customHeight="1">
      <c r="B11" s="72" t="inlineStr">
        <is>
          <t>Cases / week</t>
        </is>
      </c>
      <c r="C11" s="72" t="inlineStr">
        <is>
          <t>Signed value / yr</t>
        </is>
      </c>
      <c r="D11" s="72" t="inlineStr">
        <is>
          <t>James OLD ($)</t>
        </is>
      </c>
      <c r="E11" s="72" t="inlineStr">
        <is>
          <t>James NEW ($)</t>
        </is>
      </c>
      <c r="F11" s="72" t="inlineStr">
        <is>
          <t>Δ to James</t>
        </is>
      </c>
    </row>
    <row r="12" ht="16" customHeight="1">
      <c r="B12" s="55" t="n">
        <v>0</v>
      </c>
      <c r="C12" s="56">
        <f>B12*52*$C$8</f>
        <v/>
      </c>
      <c r="D12" s="56">
        <f>$C$5</f>
        <v/>
      </c>
      <c r="E12" s="73">
        <f>$C$6+$C$7*C12</f>
        <v/>
      </c>
      <c r="F12" s="56">
        <f>E12-D12</f>
        <v/>
      </c>
    </row>
    <row r="13" ht="16" customHeight="1">
      <c r="B13" s="55" t="n">
        <v>2.5</v>
      </c>
      <c r="C13" s="56">
        <f>B13*52*$C$8</f>
        <v/>
      </c>
      <c r="D13" s="56">
        <f>$C$5</f>
        <v/>
      </c>
      <c r="E13" s="73">
        <f>$C$6+$C$7*C13</f>
        <v/>
      </c>
      <c r="F13" s="56">
        <f>E13-D13</f>
        <v/>
      </c>
    </row>
    <row r="14" ht="16" customHeight="1">
      <c r="B14" s="55" t="n">
        <v>5</v>
      </c>
      <c r="C14" s="56">
        <f>B14*52*$C$8</f>
        <v/>
      </c>
      <c r="D14" s="56">
        <f>$C$5</f>
        <v/>
      </c>
      <c r="E14" s="73">
        <f>$C$6+$C$7*C14</f>
        <v/>
      </c>
      <c r="F14" s="56">
        <f>E14-D14</f>
        <v/>
      </c>
    </row>
    <row r="15" ht="16" customHeight="1">
      <c r="B15" s="55" t="n">
        <v>7.5</v>
      </c>
      <c r="C15" s="56">
        <f>B15*52*$C$8</f>
        <v/>
      </c>
      <c r="D15" s="56">
        <f>$C$5</f>
        <v/>
      </c>
      <c r="E15" s="73">
        <f>$C$6+$C$7*C15</f>
        <v/>
      </c>
      <c r="F15" s="56">
        <f>E15-D15</f>
        <v/>
      </c>
    </row>
    <row r="16" ht="16" customHeight="1">
      <c r="B16" s="55" t="n">
        <v>10</v>
      </c>
      <c r="C16" s="56">
        <f>B16*52*$C$8</f>
        <v/>
      </c>
      <c r="D16" s="56">
        <f>$C$5</f>
        <v/>
      </c>
      <c r="E16" s="73">
        <f>$C$6+$C$7*C16</f>
        <v/>
      </c>
      <c r="F16" s="56">
        <f>E16-D16</f>
        <v/>
      </c>
    </row>
    <row r="17" ht="16" customHeight="1">
      <c r="B17" s="55" t="n">
        <v>12.5</v>
      </c>
      <c r="C17" s="56">
        <f>B17*52*$C$8</f>
        <v/>
      </c>
      <c r="D17" s="56">
        <f>$C$5</f>
        <v/>
      </c>
      <c r="E17" s="73">
        <f>$C$6+$C$7*C17</f>
        <v/>
      </c>
      <c r="F17" s="56">
        <f>E17-D17</f>
        <v/>
      </c>
    </row>
    <row r="18" ht="16" customHeight="1">
      <c r="B18" s="55" t="n">
        <v>15</v>
      </c>
      <c r="C18" s="56">
        <f>B18*52*$C$8</f>
        <v/>
      </c>
      <c r="D18" s="56">
        <f>$C$5</f>
        <v/>
      </c>
      <c r="E18" s="73">
        <f>$C$6+$C$7*C18</f>
        <v/>
      </c>
      <c r="F18" s="56">
        <f>E18-D18</f>
        <v/>
      </c>
    </row>
    <row r="19" ht="16" customHeight="1">
      <c r="B19" s="55" t="n">
        <v>17.5</v>
      </c>
      <c r="C19" s="56">
        <f>B19*52*$C$8</f>
        <v/>
      </c>
      <c r="D19" s="56">
        <f>$C$5</f>
        <v/>
      </c>
      <c r="E19" s="73">
        <f>$C$6+$C$7*C19</f>
        <v/>
      </c>
      <c r="F19" s="56">
        <f>E19-D19</f>
        <v/>
      </c>
    </row>
    <row r="20" ht="16" customHeight="1">
      <c r="B20" s="55" t="n">
        <v>20</v>
      </c>
      <c r="C20" s="56">
        <f>B20*52*$C$8</f>
        <v/>
      </c>
      <c r="D20" s="56">
        <f>$C$5</f>
        <v/>
      </c>
      <c r="E20" s="73">
        <f>$C$6+$C$7*C20</f>
        <v/>
      </c>
      <c r="F20" s="56">
        <f>E20-D20</f>
        <v/>
      </c>
    </row>
    <row r="21" ht="16" customHeight="1">
      <c r="B21" s="55" t="n">
        <v>22.5</v>
      </c>
      <c r="C21" s="56">
        <f>B21*52*$C$8</f>
        <v/>
      </c>
      <c r="D21" s="56">
        <f>$C$5</f>
        <v/>
      </c>
      <c r="E21" s="73">
        <f>$C$6+$C$7*C21</f>
        <v/>
      </c>
      <c r="F21" s="56">
        <f>E21-D21</f>
        <v/>
      </c>
    </row>
    <row r="22" ht="16" customHeight="1">
      <c r="B22" s="74" t="n">
        <v>25</v>
      </c>
      <c r="C22" s="75">
        <f>B22*52*$C$8</f>
        <v/>
      </c>
      <c r="D22" s="75">
        <f>$C$5</f>
        <v/>
      </c>
      <c r="E22" s="75">
        <f>$C$6+$C$7*C22</f>
        <v/>
      </c>
      <c r="F22" s="75">
        <f>E22-D22</f>
        <v/>
      </c>
    </row>
    <row r="23" ht="16" customHeight="1">
      <c r="B23" s="55" t="n">
        <v>27.5</v>
      </c>
      <c r="C23" s="56">
        <f>B23*52*$C$8</f>
        <v/>
      </c>
      <c r="D23" s="56">
        <f>$C$5</f>
        <v/>
      </c>
      <c r="E23" s="73">
        <f>$C$6+$C$7*C23</f>
        <v/>
      </c>
      <c r="F23" s="56">
        <f>E23-D23</f>
        <v/>
      </c>
    </row>
    <row r="24" ht="16" customHeight="1">
      <c r="B24" s="55" t="n">
        <v>30</v>
      </c>
      <c r="C24" s="56">
        <f>B24*52*$C$8</f>
        <v/>
      </c>
      <c r="D24" s="56">
        <f>$C$5</f>
        <v/>
      </c>
      <c r="E24" s="73">
        <f>$C$6+$C$7*C24</f>
        <v/>
      </c>
      <c r="F24" s="56">
        <f>E24-D24</f>
        <v/>
      </c>
    </row>
    <row r="25" ht="16" customHeight="1">
      <c r="B25" s="55" t="n">
        <v>32.5</v>
      </c>
      <c r="C25" s="56">
        <f>B25*52*$C$8</f>
        <v/>
      </c>
      <c r="D25" s="56">
        <f>$C$5</f>
        <v/>
      </c>
      <c r="E25" s="73">
        <f>$C$6+$C$7*C25</f>
        <v/>
      </c>
      <c r="F25" s="56">
        <f>E25-D25</f>
        <v/>
      </c>
    </row>
    <row r="26" ht="16" customHeight="1">
      <c r="B26" s="55" t="n">
        <v>35</v>
      </c>
      <c r="C26" s="56">
        <f>B26*52*$C$8</f>
        <v/>
      </c>
      <c r="D26" s="56">
        <f>$C$5</f>
        <v/>
      </c>
      <c r="E26" s="73">
        <f>$C$6+$C$7*C26</f>
        <v/>
      </c>
      <c r="F26" s="56">
        <f>E26-D26</f>
        <v/>
      </c>
    </row>
    <row r="27" ht="16" customHeight="1">
      <c r="B27" s="55" t="n">
        <v>37.5</v>
      </c>
      <c r="C27" s="56">
        <f>B27*52*$C$8</f>
        <v/>
      </c>
      <c r="D27" s="56">
        <f>$C$5</f>
        <v/>
      </c>
      <c r="E27" s="73">
        <f>$C$6+$C$7*C27</f>
        <v/>
      </c>
      <c r="F27" s="56">
        <f>E27-D27</f>
        <v/>
      </c>
    </row>
    <row r="28" ht="16" customHeight="1">
      <c r="B28" s="55" t="n">
        <v>40</v>
      </c>
      <c r="C28" s="56">
        <f>B28*52*$C$8</f>
        <v/>
      </c>
      <c r="D28" s="56">
        <f>$C$5</f>
        <v/>
      </c>
      <c r="E28" s="73">
        <f>$C$6+$C$7*C28</f>
        <v/>
      </c>
      <c r="F28" s="56">
        <f>E28-D28</f>
        <v/>
      </c>
    </row>
    <row r="30" ht="30" customHeight="1">
      <c r="B30" s="76">
        <f>CONCATENATE("At the ",TEXT($F$5,"0")," cases/week goal: OLD ",TEXT(D22,"$#,##0")," → NEW ",TEXT(E22,"$#,##0")," (",TEXT(F22,"+$#,##0"),"/yr for James)")</f>
        <v/>
      </c>
    </row>
    <row r="31">
      <c r="B31" s="77" t="inlineStr">
        <is>
          <t>The lines cross near ~8 cases/week — beyond that, James earns more under the new model, and it keeps climbing.</t>
        </is>
      </c>
    </row>
  </sheetData>
  <mergeCells count="4">
    <mergeCell ref="B2:F2"/>
    <mergeCell ref="B31:F31"/>
    <mergeCell ref="B30:F30"/>
    <mergeCell ref="B3:F3"/>
  </mergeCells>
  <conditionalFormatting sqref="F12:F28">
    <cfRule type="expression" priority="1" dxfId="6">
      <formula>F12&gt;=0</formula>
    </cfRule>
    <cfRule type="expression" priority="2" dxfId="5">
      <formula>F12&lt;0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2026-06-25T18:44:02Z</dcterms:created>
  <dcterms:modified xsi:type="dcterms:W3CDTF">2026-07-08T19:29:58Z</dcterms:modified>
</cp:coreProperties>
</file>